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89fe914ef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0bf688a8044c0a"/>
    <x:sheet xmlns:r="http://schemas.openxmlformats.org/officeDocument/2006/relationships" name="Segments" sheetId="2" r:id="R0d5644b93cae4ef1"/>
    <x:sheet xmlns:r="http://schemas.openxmlformats.org/officeDocument/2006/relationships" name="Attempts" sheetId="3" r:id="Rd7b2819b3a7842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yyyy-mm-dd hh:mm:ss"/>
    <x:numFmt numFmtId="201" formatCode="0"/>
    <x:numFmt numFmtId="202" formatCode="0.00"/>
    <x:numFmt numFmtId="203" formatCode="#,##0"/>
    <x:numFmt numFmtId="204" formatCode="&quot;US$&quot;#,##0.000000"/>
    <x:numFmt numFmtId="205" formatCode="&quot;HK$&quot;#,##0.00"/>
    <x:numFmt numFmtId="206" formatCode="&quot;US$&quot;#,##0.00000000"/>
    <x:numFmt numFmtId="207" formatCode="[h]:mm:ss"/>
    <x:numFmt numFmtId="208" formatCode="&quot;US$&quot;0.00"/>
    <x:numFmt numFmtId="209" formatCode="0.000"/>
    <x:numFmt numFmtId="210" formatCode="yyyy-mm-dd"/>
    <x:numFmt numFmtId="211" formatCode="&quot;US$&quot;#,##0.00"/>
  </x:numFmts>
  <x:fonts count="9">
    <x:font>
      <x:sz val="11"/>
      <x:name val="Carlito"/>
    </x:font>
    <x:font>
      <x:sz val="10"/>
      <x:color rgb="FF233044"/>
      <x:name val="Arial"/>
    </x:font>
    <x:font>
      <x:b/>
      <x:sz val="14"/>
      <x:color rgb="FF253C59"/>
      <x:name val="Arial"/>
    </x:font>
    <x:font>
      <x:i/>
      <x:sz val="10"/>
      <x:color rgb="FF627084"/>
      <x:name val="Arial"/>
    </x:font>
    <x:font>
      <x:b/>
      <x:sz val="10"/>
      <x:color rgb="FFFFFFFF"/>
      <x:name val="Arial"/>
    </x:font>
    <x:font>
      <x:b/>
      <x:sz val="10"/>
      <x:color rgb="FF233044"/>
      <x:name val="Arial"/>
    </x:font>
    <x:font>
      <x:b/>
      <x:sz val="14"/>
      <x:color rgb="FF233044"/>
      <x:name val="Arial"/>
    </x:font>
    <x:font>
      <x:sz val="9"/>
      <x:color rgb="FF233044"/>
      <x:name val="Arial"/>
    </x:font>
    <x:font>
      <x:sz val="10"/>
      <x:color rgb="FF62708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5F7FA"/>
      </x:patternFill>
    </x:fill>
    <x:fill>
      <x:patternFill patternType="solid">
        <x:fgColor rgb="FFE7EEF7"/>
      </x:patternFill>
    </x:fill>
    <x:fill>
      <x:patternFill patternType="solid">
        <x:fgColor rgb="FFFFF1C9"/>
      </x:patternFill>
    </x:fill>
    <x:fill>
      <x:patternFill patternType="solid">
        <x:fgColor rgb="FFF1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6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6" fontId="5" fillId="4" borderId="0" xfId="0" applyNumberFormat="1" applyFont="1" applyFill="1" applyBorder="1" applyAlignment="1">
      <x:alignment vertical="center"/>
    </x:xf>
    <x:xf numFmtId="205" fontId="5" fillId="4" borderId="0" xfId="0" applyNumberFormat="1" applyFont="1" applyFill="1" applyBorder="1" applyAlignment="1">
      <x:alignment vertical="center"/>
    </x:xf>
    <x:xf numFmtId="205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9" fontId="1" fillId="5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3" fontId="5" fillId="6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211" fontId="1" fillId="3" borderId="0" xfId="0" applyNumberFormat="1" applyFont="1" applyFill="1" applyBorder="1" applyAlignment="1">
      <x:alignment vertical="center"/>
    </x:xf>
    <x:xf numFmtId="211" fontId="5" fillId="6" borderId="0" xfId="0" applyNumberFormat="1" applyFont="1" applyFill="1" applyBorder="1" applyAlignment="1">
      <x:alignment vertical="center"/>
    </x:xf>
    <x:xf numFmtId="205" fontId="5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9C3028"/>
      </x:font>
      <x:fill>
        <x:patternFill patternType="solid">
          <x:bgColor rgb="FFFCE9E6"/>
        </x:patternFill>
      </x:fill>
    </x:dxf>
    <x:dxf>
      <x:font>
        <x:color rgb="FF805000"/>
      </x:font>
      <x:fill>
        <x:patternFill patternType="solid">
          <x:bgColor rgb="FFFFF1DB"/>
        </x:patternFill>
      </x:fill>
    </x:dxf>
    <x:dxf>
      <x:font>
        <x:b/>
      </x:font>
      <x:fill>
        <x:patternFill patternType="solid">
          <x:bgColor rgb="FFFFF1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083ce9fee450c" /><Relationship Type="http://schemas.openxmlformats.org/officeDocument/2006/relationships/theme" Target="/xl/theme/theme1.xml" Id="Red53c289dc174e25" /><Relationship Type="http://schemas.openxmlformats.org/officeDocument/2006/relationships/sharedStrings" Target="/xl/sharedStrings.xml" Id="Reb9d0f3576874c9c" /><Relationship Type="http://schemas.openxmlformats.org/officeDocument/2006/relationships/worksheet" Target="/xl/worksheets/sheet1.xml" Id="R1e0bf688a8044c0a" /><Relationship Type="http://schemas.openxmlformats.org/officeDocument/2006/relationships/worksheet" Target="/xl/worksheets/sheet2.xml" Id="R0d5644b93cae4ef1" /><Relationship Type="http://schemas.openxmlformats.org/officeDocument/2006/relationships/worksheet" Target="/xl/worksheets/sheet3.xml" Id="Rd7b2819b3a7842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C59"/>
  </x:sheetPr>
  <x:sheetViews>
    <x:sheetView showGridLines="0" workbookViewId="0"/>
  </x:sheetViews>
  <x:sheetFormatPr defaultRowHeight="15"/>
  <x:cols>
    <x:col min="1" max="1" width="43" hidden="0" customWidth="1"/>
    <x:col min="2" max="2" width="24" hidden="0" customWidth="1"/>
    <x:col min="3" max="3" width="16" hidden="0" customWidth="1"/>
    <x:col min="4" max="4" width="34" hidden="0" customWidth="1"/>
    <x:col min="5" max="5" width="12" hidden="0" customWidth="1"/>
    <x:col min="6" max="6" width="26" hidden="0" customWidth="1"/>
    <x:col min="7" max="7" width="21" hidden="0" customWidth="1"/>
    <x:col min="8" max="8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dog-20261014 production report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22" customHeight="1">
      <x:c r="A4" s="8" t="str">
        <x:v>Production totals</x:v>
      </x:c>
      <x:c r="B4" s="8"/>
      <x:c r="C4" s="2"/>
      <x:c r="D4" s="8" t="str">
        <x:v>Pricing and generation settings</x:v>
      </x:c>
      <x:c r="E4" s="8"/>
      <x:c r="F4" s="8"/>
      <x:c r="G4" s="8"/>
      <x:c r="H4" s="8"/>
    </x:row>
    <x:row r="5" ht="22" customHeight="1">
      <x:c r="A5" s="2" t="str">
        <x:v>Planned generation segments</x:v>
      </x:c>
      <x:c r="B5" s="16" t="n">
        <x:f>COUNTA('Segments'!$B$7:$B$76)</x:f>
        <x:v>70</x:v>
      </x:c>
      <x:c r="C5" s="2"/>
      <x:c r="D5" s="2" t="str">
        <x:v>USD per million completion tokens</x:v>
      </x:c>
      <x:c r="E5" s="2"/>
      <x:c r="F5" s="34" t="n">
        <x:v>10.7</x:v>
      </x:c>
      <x:c r="G5" s="2"/>
      <x:c r="H5" s="2"/>
    </x:row>
    <x:row r="6" ht="22" customHeight="1">
      <x:c r="A6" s="2" t="str">
        <x:v>Screenplay scenes</x:v>
      </x:c>
      <x:c r="B6" s="16" t="n">
        <x:f>COUNTA(A31:A46)</x:f>
        <x:v>16</x:v>
      </x:c>
      <x:c r="C6" s="2"/>
      <x:c r="D6" s="2" t="str">
        <x:v>Tokens per pricing unit</x:v>
      </x:c>
      <x:c r="E6" s="2"/>
      <x:c r="F6" s="16" t="n">
        <x:v>1000000</x:v>
      </x:c>
      <x:c r="G6" s="2"/>
      <x:c r="H6" s="2"/>
    </x:row>
    <x:row r="7" ht="22" customHeight="1">
      <x:c r="A7" s="2" t="str">
        <x:v>API requests</x:v>
      </x:c>
      <x:c r="B7" s="16" t="n">
        <x:f>SUM('Segments'!$G$7:$G$76)</x:f>
        <x:v>96</x:v>
      </x:c>
      <x:c r="C7" s="2"/>
      <x:c r="D7" s="2" t="str">
        <x:v>HKD per USD</x:v>
      </x:c>
      <x:c r="E7" s="2"/>
      <x:c r="F7" s="36" t="n">
        <x:v>7.847</x:v>
      </x:c>
      <x:c r="G7" s="2"/>
      <x:c r="H7" s="2"/>
    </x:row>
    <x:row r="8" ht="22" customHeight="1">
      <x:c r="A8" s="2" t="str">
        <x:v>Successful returned videos</x:v>
      </x:c>
      <x:c r="B8" s="16" t="n">
        <x:f>SUM('Segments'!$H$7:$H$76)</x:f>
        <x:v>91</x:v>
      </x:c>
      <x:c r="C8" s="2"/>
      <x:c r="D8" s="2" t="str">
        <x:v>FX observation date</x:v>
      </x:c>
      <x:c r="E8" s="2"/>
      <x:c r="F8" s="37" t="d">
        <x:v>2026-10-15T00:00:00.000Z</x:v>
      </x:c>
      <x:c r="G8" s="2"/>
      <x:c r="H8" s="2"/>
    </x:row>
    <x:row r="9" ht="22" customHeight="1">
      <x:c r="A9" s="2" t="str">
        <x:v>Failed after acceptance</x:v>
      </x:c>
      <x:c r="B9" s="16" t="n">
        <x:f>SUM('Segments'!$I$7:$I$76)</x:f>
        <x:v>3</x:v>
      </x:c>
      <x:c r="C9" s="2"/>
      <x:c r="D9" s="2"/>
      <x:c r="E9" s="2"/>
      <x:c r="F9" s="2"/>
      <x:c r="G9" s="2"/>
      <x:c r="H9" s="2"/>
    </x:row>
    <x:row r="10" ht="22" customHeight="1">
      <x:c r="A10" s="2" t="str">
        <x:v>Rejected before generation</x:v>
      </x:c>
      <x:c r="B10" s="16" t="n">
        <x:f>SUM('Segments'!$J$7:$J$76)</x:f>
        <x:v>2</x:v>
      </x:c>
      <x:c r="C10" s="2"/>
      <x:c r="D10" s="2" t="str">
        <x:v>Model</x:v>
      </x:c>
      <x:c r="E10" s="2"/>
      <x:c r="F10" s="2" t="str">
        <x:v>Dreamina Seedance 2.5</x:v>
      </x:c>
      <x:c r="G10" s="2"/>
      <x:c r="H10" s="2"/>
    </x:row>
    <x:row r="11" ht="22" customHeight="1">
      <x:c r="A11" s="2" t="str">
        <x:v>Selected video sources</x:v>
      </x:c>
      <x:c r="B11" s="16" t="n">
        <x:f>COUNTIFS('Attempts'!$E$7:$E$102,"Selected source")</x:f>
        <x:v>70</x:v>
      </x:c>
      <x:c r="C11" s="2"/>
      <x:c r="D11" s="2" t="str">
        <x:v>Model identifier</x:v>
      </x:c>
      <x:c r="E11" s="2"/>
      <x:c r="F11" s="2" t="str">
        <x:v>dreamina-seedance-2-5-260628</x:v>
      </x:c>
      <x:c r="G11" s="2"/>
      <x:c r="H11" s="2"/>
    </x:row>
    <x:row r="12" ht="22" customHeight="1">
      <x:c r="A12" s="2" t="str">
        <x:v>Final timeline duration (seconds)</x:v>
      </x:c>
      <x:c r="B12" s="16" t="n">
        <x:f>SUM('Segments'!$F$7:$F$76)</x:f>
        <x:v>1200</x:v>
      </x:c>
      <x:c r="C12" s="2"/>
      <x:c r="D12" s="2" t="str">
        <x:v>Native resolution</x:v>
      </x:c>
      <x:c r="E12" s="2"/>
      <x:c r="F12" s="2" t="str">
        <x:v>480p (854x480)</x:v>
      </x:c>
      <x:c r="G12" s="2"/>
      <x:c r="H12" s="2"/>
    </x:row>
    <x:row r="13" ht="22" customHeight="1">
      <x:c r="A13" s="2" t="str">
        <x:v>Successful output duration (seconds)</x:v>
      </x:c>
      <x:c r="B13" s="16" t="n">
        <x:f>SUM('Attempts'!$L$7:$L$102)</x:f>
        <x:v>1564</x:v>
      </x:c>
      <x:c r="C13" s="2"/>
      <x:c r="D13" s="2" t="str">
        <x:v>Frame rate / aspect ratio</x:v>
      </x:c>
      <x:c r="E13" s="2"/>
      <x:c r="F13" s="2" t="str">
        <x:v>24 fps / 16:9</x:v>
      </x:c>
      <x:c r="G13" s="2"/>
      <x:c r="H13" s="2"/>
    </x:row>
    <x:row r="14" ht="22" customHeight="1">
      <x:c r="A14" s="2" t="str">
        <x:v>Superseded successful videos</x:v>
      </x:c>
      <x:c r="B14" s="16" t="n">
        <x:f>B8-B11</x:f>
        <x:v>21</x:v>
      </x:c>
      <x:c r="C14" s="2"/>
      <x:c r="D14" s="2" t="str">
        <x:v>Input type</x:v>
      </x:c>
      <x:c r="E14" s="2"/>
      <x:c r="F14" s="2" t="str">
        <x:v>Image references; zero video input</x:v>
      </x:c>
      <x:c r="G14" s="2"/>
      <x:c r="H14" s="2"/>
    </x:row>
    <x:row r="15" ht="22" customHeight="1">
      <x:c r="A15" s="29" t="str">
        <x:v>Estimated Seedance cost (USD)</x:v>
      </x:c>
      <x:c r="B15" s="30" t="n">
        <x:f>SUM('Attempts'!$O$7:$O$102)</x:f>
        <x:v>161.16894259999995</x:v>
      </x:c>
      <x:c r="C15" s="2"/>
      <x:c r="D15" s="2" t="str">
        <x:v>Duration per segment</x:v>
      </x:c>
      <x:c r="E15" s="2"/>
      <x:c r="F15" s="2" t="str">
        <x:v>8–24 seconds</x:v>
      </x:c>
      <x:c r="G15" s="2"/>
      <x:c r="H15" s="2"/>
    </x:row>
    <x:row r="16" ht="22" customHeight="1">
      <x:c r="A16" s="29" t="str">
        <x:v>Estimated Seedance cost (HKD)</x:v>
      </x:c>
      <x:c r="B16" s="32" t="n">
        <x:f>SUM('Attempts'!$P$7:$P$102)</x:f>
        <x:v>1264.6926925822</x:v>
      </x:c>
      <x:c r="C16" s="2"/>
      <x:c r="D16" s="2" t="str">
        <x:v>Final timeline</x:v>
      </x:c>
      <x:c r="E16" s="2"/>
      <x:c r="F16" s="2" t="str">
        <x:v>20:00</x:v>
      </x:c>
      <x:c r="G16" s="2"/>
      <x:c r="H16" s="2"/>
    </x:row>
    <x:row r="17" ht="22" customHeight="1">
      <x:c r="A17" s="2" t="str">
        <x:v>Average requests per segment</x:v>
      </x:c>
      <x:c r="B17" s="14" t="n">
        <x:f>B7/B5</x:f>
        <x:v>1.3714285714285714</x:v>
      </x:c>
      <x:c r="C17" s="2"/>
      <x:c r="D17" s="2"/>
      <x:c r="E17" s="2"/>
      <x:c r="F17" s="2"/>
      <x:c r="G17" s="2"/>
      <x:c r="H17" s="2"/>
    </x:row>
    <x:row r="18" ht="22" customHeight="1">
      <x:c r="A18" s="2" t="str">
        <x:v>Segments using one request in total</x:v>
      </x:c>
      <x:c r="B18" s="16" t="n">
        <x:f>COUNTIFS('Segments'!$G$7:$G$76,1)</x:f>
        <x:v>51</x:v>
      </x:c>
      <x:c r="C18" s="2"/>
      <x:c r="D18" s="2" t="str">
        <x:v>Unknown charge attempts</x:v>
      </x:c>
      <x:c r="E18" s="2"/>
      <x:c r="F18" s="2" t="n">
        <x:v>0</x:v>
      </x:c>
      <x:c r="G18" s="2"/>
      <x:c r="H18" s="2"/>
    </x:row>
    <x:row r="19" ht="22" customHeight="1">
      <x:c r="A19" s="33" t="str">
        <x:v>Segments first returning a video on request 1</x:v>
      </x:c>
      <x:c r="B19" s="16" t="n">
        <x:f>COUNTIFS('Segments'!$K$7:$K$76,1)</x:f>
        <x:v>68</x:v>
      </x:c>
      <x:c r="C19" s="2"/>
      <x:c r="D19" s="2" t="str">
        <x:v>Report date</x:v>
      </x:c>
      <x:c r="E19" s="2"/>
      <x:c r="F19" s="37" t="d">
        <x:v>2026-10-16T00:00:00.000Z</x:v>
      </x:c>
      <x:c r="G19" s="2"/>
      <x:c r="H19" s="2"/>
    </x:row>
    <x:row r="20" ht="22" customHeight="1">
      <x:c r="A20" s="2" t="str">
        <x:v>Production elapsed time</x:v>
      </x:c>
      <x:c r="B20" s="25" t="n">
        <x:v>0.8003607466782408</x:v>
      </x:c>
      <x:c r="C20" s="2"/>
      <x:c r="D20" s="2" t="str">
        <x:v>Production dates (HKT)</x:v>
      </x:c>
      <x:c r="E20" s="2"/>
      <x:c r="F20" s="2" t="str">
        <x:v>14–15 October 2026</x:v>
      </x:c>
      <x:c r="G20" s="2"/>
      <x:c r="H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</x:row>
    <x:row r="22" ht="22" customHeight="1">
      <x:c r="A22" s="38" t="str">
        <x:v>Costs include 91 successful generations. This includes 21 videos replaced during quality review.</x:v>
      </x:c>
      <x:c r="B22" s="2"/>
      <x:c r="C22" s="2"/>
      <x:c r="D22" s="2"/>
      <x:c r="E22" s="2"/>
      <x:c r="F22" s="2"/>
      <x:c r="G22" s="2"/>
      <x:c r="H22" s="2"/>
    </x:row>
    <x:row r="23" ht="22" customHeight="1">
      <x:c r="A23" s="38" t="str">
        <x:v>Five failed or rejected requests have an estimated zero generation fee under the provider policy.</x:v>
      </x:c>
      <x:c r="B23" s="2"/>
      <x:c r="C23" s="2"/>
      <x:c r="D23" s="2"/>
      <x:c r="E23" s="2"/>
      <x:c r="F23" s="2"/>
      <x:c r="G23" s="2"/>
      <x:c r="H23" s="2"/>
    </x:row>
    <x:row r="24" ht="22" customHeight="1">
      <x:c r="A24" s="38" t="str">
        <x:v>Local crops, audio edits and final assembly add no Seedance generation fee.</x:v>
      </x:c>
      <x:c r="B24" s="2"/>
      <x:c r="C24" s="2"/>
      <x:c r="D24" s="2"/>
      <x:c r="E24" s="2"/>
      <x:c r="F24" s="2"/>
      <x:c r="G24" s="2"/>
      <x:c r="H24" s="2"/>
    </x:row>
    <x:row r="25" ht="22" customHeight="1">
      <x:c r="A25" s="38" t="str">
        <x:v>API success means a returned video. Final selection also required visual review.</x:v>
      </x:c>
      <x:c r="B25" s="2"/>
      <x:c r="C25" s="2"/>
      <x:c r="D25" s="2"/>
      <x:c r="E25" s="2"/>
      <x:c r="F25" s="2"/>
      <x:c r="G25" s="2"/>
      <x:c r="H25" s="2"/>
    </x:row>
    <x:row r="26" ht="22" customHeight="1">
      <x:c r="A26" s="38" t="str">
        <x:v>List-price estimates exclude image generation, Codex subscription, discounts, tax and card FX fees.</x:v>
      </x:c>
      <x:c r="B26" s="2"/>
      <x:c r="C26" s="2"/>
      <x:c r="D26" s="2"/>
      <x:c r="E26" s="2"/>
      <x:c r="F26" s="2"/>
      <x:c r="G26" s="2"/>
      <x:c r="H26" s="2"/>
    </x:row>
    <x:row r="27" ht="22" customHeight="1">
      <x:c r="A27" s="38" t="str">
        <x:v>70 segments cover 16 screenplay scenes and 169 planned camera shots. Native output totals 26:04 before selection.</x:v>
      </x:c>
      <x:c r="B27" s="2"/>
      <x:c r="C27" s="2"/>
      <x:c r="D27" s="2"/>
      <x:c r="E27" s="2"/>
      <x:c r="F27" s="2"/>
      <x:c r="G27" s="2"/>
      <x:c r="H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</x:row>
    <x:row r="29" ht="22" customHeight="1">
      <x:c r="A29" s="39" t="str">
        <x:v>By screenplay scene</x:v>
      </x:c>
      <x:c r="B29" s="2"/>
      <x:c r="C29" s="2"/>
      <x:c r="D29" s="2"/>
      <x:c r="E29" s="2"/>
      <x:c r="F29" s="2"/>
      <x:c r="G29" s="2"/>
      <x:c r="H29" s="2"/>
    </x:row>
    <x:row r="30" ht="34" customHeight="1">
      <x:c r="A30" s="8" t="str">
        <x:v>Scene</x:v>
      </x:c>
      <x:c r="B30" s="8" t="str">
        <x:v>Segments</x:v>
      </x:c>
      <x:c r="C30" s="8" t="str">
        <x:v>Duration (s)</x:v>
      </x:c>
      <x:c r="D30" s="8" t="str">
        <x:v>Requests</x:v>
      </x:c>
      <x:c r="E30" s="8" t="str">
        <x:v>Videos</x:v>
      </x:c>
      <x:c r="F30" s="8" t="str">
        <x:v>Failed / rejected</x:v>
      </x:c>
      <x:c r="G30" s="8" t="str">
        <x:v>Estimated USD</x:v>
      </x:c>
      <x:c r="H30" s="8" t="str">
        <x:v>Estimated HKD</x:v>
      </x:c>
    </x:row>
    <x:row r="31" ht="22" customHeight="1">
      <x:c r="A31" s="16" t="n">
        <x:v>1</x:v>
      </x:c>
      <x:c r="B31" s="16" t="n">
        <x:f>COUNTIFS('Segments'!$C$7:$C$76,$A31)</x:f>
        <x:v>5</x:v>
      </x:c>
      <x:c r="C31" s="16" t="n">
        <x:f>SUMIFS('Segments'!$F$7:$F$76,'Segments'!$C$7:$C$76,$A31)</x:f>
        <x:v>85</x:v>
      </x:c>
      <x:c r="D31" s="16" t="n">
        <x:f>SUMIFS('Segments'!$G$7:$G$76,'Segments'!$C$7:$C$76,$A31)</x:f>
        <x:v>5</x:v>
      </x:c>
      <x:c r="E31" s="16" t="n">
        <x:f>SUMIFS('Segments'!$H$7:$H$76,'Segments'!$C$7:$C$76,$A31)</x:f>
        <x:v>5</x:v>
      </x:c>
      <x:c r="F31" s="16" t="n">
        <x:f>SUMIFS('Segments'!$I$7:$I$76,'Segments'!$C$7:$C$76,$A31)+SUMIFS('Segments'!$J$7:$J$76,'Segments'!$C$7:$C$76,$A31)</x:f>
        <x:v>0</x:v>
      </x:c>
      <x:c r="G31" s="42" t="n">
        <x:f>SUMIFS('Segments'!$R$7:$R$76,'Segments'!$C$7:$C$76,$A31)</x:f>
        <x:v>8.759415899999999</x:v>
      </x:c>
      <x:c r="H31" s="20" t="n">
        <x:f>SUMIFS('Segments'!$S$7:$S$76,'Segments'!$C$7:$C$76,$A31)</x:f>
        <x:v>68.7351365673</x:v>
      </x:c>
    </x:row>
    <x:row r="32" ht="22" customHeight="1">
      <x:c r="A32" s="17" t="n">
        <x:v>2</x:v>
      </x:c>
      <x:c r="B32" s="17" t="n">
        <x:f>COUNTIFS('Segments'!$C$7:$C$76,$A32)</x:f>
        <x:v>4</x:v>
      </x:c>
      <x:c r="C32" s="17" t="n">
        <x:f>SUMIFS('Segments'!$F$7:$F$76,'Segments'!$C$7:$C$76,$A32)</x:f>
        <x:v>60</x:v>
      </x:c>
      <x:c r="D32" s="17" t="n">
        <x:f>SUMIFS('Segments'!$G$7:$G$76,'Segments'!$C$7:$C$76,$A32)</x:f>
        <x:v>7</x:v>
      </x:c>
      <x:c r="E32" s="17" t="n">
        <x:f>SUMIFS('Segments'!$H$7:$H$76,'Segments'!$C$7:$C$76,$A32)</x:f>
        <x:v>6</x:v>
      </x:c>
      <x:c r="F32" s="17" t="n">
        <x:f>SUMIFS('Segments'!$I$7:$I$76,'Segments'!$C$7:$C$76,$A32)+SUMIFS('Segments'!$J$7:$J$76,'Segments'!$C$7:$C$76,$A32)</x:f>
        <x:v>1</x:v>
      </x:c>
      <x:c r="G32" s="43" t="n">
        <x:f>SUMIFS('Segments'!$R$7:$R$76,'Segments'!$C$7:$C$76,$A32)</x:f>
        <x:v>9.894504</x:v>
      </x:c>
      <x:c r="H32" s="21" t="n">
        <x:f>SUMIFS('Segments'!$S$7:$S$76,'Segments'!$C$7:$C$76,$A32)</x:f>
        <x:v>77.64217288799999</x:v>
      </x:c>
    </x:row>
    <x:row r="33" ht="22" customHeight="1">
      <x:c r="A33" s="16" t="n">
        <x:v>3</x:v>
      </x:c>
      <x:c r="B33" s="16" t="n">
        <x:f>COUNTIFS('Segments'!$C$7:$C$76,$A33)</x:f>
        <x:v>4</x:v>
      </x:c>
      <x:c r="C33" s="16" t="n">
        <x:f>SUMIFS('Segments'!$F$7:$F$76,'Segments'!$C$7:$C$76,$A33)</x:f>
        <x:v>70</x:v>
      </x:c>
      <x:c r="D33" s="16" t="n">
        <x:f>SUMIFS('Segments'!$G$7:$G$76,'Segments'!$C$7:$C$76,$A33)</x:f>
        <x:v>8</x:v>
      </x:c>
      <x:c r="E33" s="16" t="n">
        <x:f>SUMIFS('Segments'!$H$7:$H$76,'Segments'!$C$7:$C$76,$A33)</x:f>
        <x:v>8</x:v>
      </x:c>
      <x:c r="F33" s="16" t="n">
        <x:f>SUMIFS('Segments'!$I$7:$I$76,'Segments'!$C$7:$C$76,$A33)+SUMIFS('Segments'!$J$7:$J$76,'Segments'!$C$7:$C$76,$A33)</x:f>
        <x:v>0</x:v>
      </x:c>
      <x:c r="G33" s="42" t="n">
        <x:f>SUMIFS('Segments'!$R$7:$R$76,'Segments'!$C$7:$C$76,$A33)</x:f>
        <x:v>14.426274999999997</x:v>
      </x:c>
      <x:c r="H33" s="20" t="n">
        <x:f>SUMIFS('Segments'!$S$7:$S$76,'Segments'!$C$7:$C$76,$A33)</x:f>
        <x:v>113.202979925</x:v>
      </x:c>
    </x:row>
    <x:row r="34" ht="22" customHeight="1">
      <x:c r="A34" s="17" t="n">
        <x:v>4</x:v>
      </x:c>
      <x:c r="B34" s="17" t="n">
        <x:f>COUNTIFS('Segments'!$C$7:$C$76,$A34)</x:f>
        <x:v>6</x:v>
      </x:c>
      <x:c r="C34" s="17" t="n">
        <x:f>SUMIFS('Segments'!$F$7:$F$76,'Segments'!$C$7:$C$76,$A34)</x:f>
        <x:v>90</x:v>
      </x:c>
      <x:c r="D34" s="17" t="n">
        <x:f>SUMIFS('Segments'!$G$7:$G$76,'Segments'!$C$7:$C$76,$A34)</x:f>
        <x:v>11</x:v>
      </x:c>
      <x:c r="E34" s="17" t="n">
        <x:f>SUMIFS('Segments'!$H$7:$H$76,'Segments'!$C$7:$C$76,$A34)</x:f>
        <x:v>10</x:v>
      </x:c>
      <x:c r="F34" s="17" t="n">
        <x:f>SUMIFS('Segments'!$I$7:$I$76,'Segments'!$C$7:$C$76,$A34)+SUMIFS('Segments'!$J$7:$J$76,'Segments'!$C$7:$C$76,$A34)</x:f>
        <x:v>1</x:v>
      </x:c>
      <x:c r="G34" s="43" t="n">
        <x:f>SUMIFS('Segments'!$R$7:$R$76,'Segments'!$C$7:$C$76,$A34)</x:f>
        <x:v>15.5656217</x:v>
      </x:c>
      <x:c r="H34" s="21" t="n">
        <x:f>SUMIFS('Segments'!$S$7:$S$76,'Segments'!$C$7:$C$76,$A34)</x:f>
        <x:v>122.1434334799</x:v>
      </x:c>
    </x:row>
    <x:row r="35" ht="22" customHeight="1">
      <x:c r="A35" s="16" t="n">
        <x:v>5</x:v>
      </x:c>
      <x:c r="B35" s="16" t="n">
        <x:f>COUNTIFS('Segments'!$C$7:$C$76,$A35)</x:f>
        <x:v>3</x:v>
      </x:c>
      <x:c r="C35" s="16" t="n">
        <x:f>SUMIFS('Segments'!$F$7:$F$76,'Segments'!$C$7:$C$76,$A35)</x:f>
        <x:v>55</x:v>
      </x:c>
      <x:c r="D35" s="16" t="n">
        <x:f>SUMIFS('Segments'!$G$7:$G$76,'Segments'!$C$7:$C$76,$A35)</x:f>
        <x:v>3</x:v>
      </x:c>
      <x:c r="E35" s="16" t="n">
        <x:f>SUMIFS('Segments'!$H$7:$H$76,'Segments'!$C$7:$C$76,$A35)</x:f>
        <x:v>3</x:v>
      </x:c>
      <x:c r="F35" s="16" t="n">
        <x:f>SUMIFS('Segments'!$I$7:$I$76,'Segments'!$C$7:$C$76,$A35)+SUMIFS('Segments'!$J$7:$J$76,'Segments'!$C$7:$C$76,$A35)</x:f>
        <x:v>0</x:v>
      </x:c>
      <x:c r="G35" s="42" t="n">
        <x:f>SUMIFS('Segments'!$R$7:$R$76,'Segments'!$C$7:$C$76,$A35)</x:f>
        <x:v>5.666848399999999</x:v>
      </x:c>
      <x:c r="H35" s="20" t="n">
        <x:f>SUMIFS('Segments'!$S$7:$S$76,'Segments'!$C$7:$C$76,$A35)</x:f>
        <x:v>44.4677593948</x:v>
      </x:c>
    </x:row>
    <x:row r="36" ht="22" customHeight="1">
      <x:c r="A36" s="17" t="n">
        <x:v>6</x:v>
      </x:c>
      <x:c r="B36" s="17" t="n">
        <x:f>COUNTIFS('Segments'!$C$7:$C$76,$A36)</x:f>
        <x:v>4</x:v>
      </x:c>
      <x:c r="C36" s="17" t="n">
        <x:f>SUMIFS('Segments'!$F$7:$F$76,'Segments'!$C$7:$C$76,$A36)</x:f>
        <x:v>80</x:v>
      </x:c>
      <x:c r="D36" s="17" t="n">
        <x:f>SUMIFS('Segments'!$G$7:$G$76,'Segments'!$C$7:$C$76,$A36)</x:f>
        <x:v>4</x:v>
      </x:c>
      <x:c r="E36" s="17" t="n">
        <x:f>SUMIFS('Segments'!$H$7:$H$76,'Segments'!$C$7:$C$76,$A36)</x:f>
        <x:v>4</x:v>
      </x:c>
      <x:c r="F36" s="17" t="n">
        <x:f>SUMIFS('Segments'!$I$7:$I$76,'Segments'!$C$7:$C$76,$A36)+SUMIFS('Segments'!$J$7:$J$76,'Segments'!$C$7:$C$76,$A36)</x:f>
        <x:v>0</x:v>
      </x:c>
      <x:c r="G36" s="43" t="n">
        <x:f>SUMIFS('Segments'!$R$7:$R$76,'Segments'!$C$7:$C$76,$A36)</x:f>
        <x:v>8.24114</x:v>
      </x:c>
      <x:c r="H36" s="21" t="n">
        <x:f>SUMIFS('Segments'!$S$7:$S$76,'Segments'!$C$7:$C$76,$A36)</x:f>
        <x:v>64.66822558</x:v>
      </x:c>
    </x:row>
    <x:row r="37" ht="22" customHeight="1">
      <x:c r="A37" s="16" t="n">
        <x:v>7</x:v>
      </x:c>
      <x:c r="B37" s="16" t="n">
        <x:f>COUNTIFS('Segments'!$C$7:$C$76,$A37)</x:f>
        <x:v>4</x:v>
      </x:c>
      <x:c r="C37" s="16" t="n">
        <x:f>SUMIFS('Segments'!$F$7:$F$76,'Segments'!$C$7:$C$76,$A37)</x:f>
        <x:v>55</x:v>
      </x:c>
      <x:c r="D37" s="16" t="n">
        <x:f>SUMIFS('Segments'!$G$7:$G$76,'Segments'!$C$7:$C$76,$A37)</x:f>
        <x:v>5</x:v>
      </x:c>
      <x:c r="E37" s="16" t="n">
        <x:f>SUMIFS('Segments'!$H$7:$H$76,'Segments'!$C$7:$C$76,$A37)</x:f>
        <x:v>5</x:v>
      </x:c>
      <x:c r="F37" s="16" t="n">
        <x:f>SUMIFS('Segments'!$I$7:$I$76,'Segments'!$C$7:$C$76,$A37)+SUMIFS('Segments'!$J$7:$J$76,'Segments'!$C$7:$C$76,$A37)</x:f>
        <x:v>0</x:v>
      </x:c>
      <x:c r="G37" s="42" t="n">
        <x:f>SUMIFS('Segments'!$R$7:$R$76,'Segments'!$C$7:$C$76,$A37)</x:f>
        <x:v>7.217396099999999</x:v>
      </x:c>
      <x:c r="H37" s="20" t="n">
        <x:f>SUMIFS('Segments'!$S$7:$S$76,'Segments'!$C$7:$C$76,$A37)</x:f>
        <x:v>56.6349071967</x:v>
      </x:c>
    </x:row>
    <x:row r="38" ht="22" customHeight="1">
      <x:c r="A38" s="17" t="n">
        <x:v>8</x:v>
      </x:c>
      <x:c r="B38" s="17" t="n">
        <x:f>COUNTIFS('Segments'!$C$7:$C$76,$A38)</x:f>
        <x:v>4</x:v>
      </x:c>
      <x:c r="C38" s="17" t="n">
        <x:f>SUMIFS('Segments'!$F$7:$F$76,'Segments'!$C$7:$C$76,$A38)</x:f>
        <x:v>60</x:v>
      </x:c>
      <x:c r="D38" s="17" t="n">
        <x:f>SUMIFS('Segments'!$G$7:$G$76,'Segments'!$C$7:$C$76,$A38)</x:f>
        <x:v>5</x:v>
      </x:c>
      <x:c r="E38" s="17" t="n">
        <x:f>SUMIFS('Segments'!$H$7:$H$76,'Segments'!$C$7:$C$76,$A38)</x:f>
        <x:v>5</x:v>
      </x:c>
      <x:c r="F38" s="17" t="n">
        <x:f>SUMIFS('Segments'!$I$7:$I$76,'Segments'!$C$7:$C$76,$A38)+SUMIFS('Segments'!$J$7:$J$76,'Segments'!$C$7:$C$76,$A38)</x:f>
        <x:v>0</x:v>
      </x:c>
      <x:c r="G38" s="43" t="n">
        <x:f>SUMIFS('Segments'!$R$7:$R$76,'Segments'!$C$7:$C$76,$A38)</x:f>
        <x:v>7.6286185</x:v>
      </x:c>
      <x:c r="H38" s="21" t="n">
        <x:f>SUMIFS('Segments'!$S$7:$S$76,'Segments'!$C$7:$C$76,$A38)</x:f>
        <x:v>59.861769369499996</x:v>
      </x:c>
    </x:row>
    <x:row r="39" ht="22" customHeight="1">
      <x:c r="A39" s="16" t="n">
        <x:v>9</x:v>
      </x:c>
      <x:c r="B39" s="16" t="n">
        <x:f>COUNTIFS('Segments'!$C$7:$C$76,$A39)</x:f>
        <x:v>5</x:v>
      </x:c>
      <x:c r="C39" s="16" t="n">
        <x:f>SUMIFS('Segments'!$F$7:$F$76,'Segments'!$C$7:$C$76,$A39)</x:f>
        <x:v>85</x:v>
      </x:c>
      <x:c r="D39" s="16" t="n">
        <x:f>SUMIFS('Segments'!$G$7:$G$76,'Segments'!$C$7:$C$76,$A39)</x:f>
        <x:v>5</x:v>
      </x:c>
      <x:c r="E39" s="16" t="n">
        <x:f>SUMIFS('Segments'!$H$7:$H$76,'Segments'!$C$7:$C$76,$A39)</x:f>
        <x:v>5</x:v>
      </x:c>
      <x:c r="F39" s="16" t="n">
        <x:f>SUMIFS('Segments'!$I$7:$I$76,'Segments'!$C$7:$C$76,$A39)+SUMIFS('Segments'!$J$7:$J$76,'Segments'!$C$7:$C$76,$A39)</x:f>
        <x:v>0</x:v>
      </x:c>
      <x:c r="G39" s="42" t="n">
        <x:f>SUMIFS('Segments'!$R$7:$R$76,'Segments'!$C$7:$C$76,$A39)</x:f>
        <x:v>8.7594159</x:v>
      </x:c>
      <x:c r="H39" s="20" t="n">
        <x:f>SUMIFS('Segments'!$S$7:$S$76,'Segments'!$C$7:$C$76,$A39)</x:f>
        <x:v>68.7351365673</x:v>
      </x:c>
    </x:row>
    <x:row r="40" ht="22" customHeight="1">
      <x:c r="A40" s="17" t="n">
        <x:v>10</x:v>
      </x:c>
      <x:c r="B40" s="17" t="n">
        <x:f>COUNTIFS('Segments'!$C$7:$C$76,$A40)</x:f>
        <x:v>5</x:v>
      </x:c>
      <x:c r="C40" s="17" t="n">
        <x:f>SUMIFS('Segments'!$F$7:$F$76,'Segments'!$C$7:$C$76,$A40)</x:f>
        <x:v>90</x:v>
      </x:c>
      <x:c r="D40" s="17" t="n">
        <x:f>SUMIFS('Segments'!$G$7:$G$76,'Segments'!$C$7:$C$76,$A40)</x:f>
        <x:v>5</x:v>
      </x:c>
      <x:c r="E40" s="17" t="n">
        <x:f>SUMIFS('Segments'!$H$7:$H$76,'Segments'!$C$7:$C$76,$A40)</x:f>
        <x:v>5</x:v>
      </x:c>
      <x:c r="F40" s="17" t="n">
        <x:f>SUMIFS('Segments'!$I$7:$I$76,'Segments'!$C$7:$C$76,$A40)+SUMIFS('Segments'!$J$7:$J$76,'Segments'!$C$7:$C$76,$A40)</x:f>
        <x:v>0</x:v>
      </x:c>
      <x:c r="G40" s="43" t="n">
        <x:f>SUMIFS('Segments'!$R$7:$R$76,'Segments'!$C$7:$C$76,$A40)</x:f>
        <x:v>9.273411799999998</x:v>
      </x:c>
      <x:c r="H40" s="21" t="n">
        <x:f>SUMIFS('Segments'!$S$7:$S$76,'Segments'!$C$7:$C$76,$A40)</x:f>
        <x:v>72.7684623946</x:v>
      </x:c>
    </x:row>
    <x:row r="41" ht="22" customHeight="1">
      <x:c r="A41" s="16" t="n">
        <x:v>11</x:v>
      </x:c>
      <x:c r="B41" s="16" t="n">
        <x:f>COUNTIFS('Segments'!$C$7:$C$76,$A41)</x:f>
        <x:v>2</x:v>
      </x:c>
      <x:c r="C41" s="16" t="n">
        <x:f>SUMIFS('Segments'!$F$7:$F$76,'Segments'!$C$7:$C$76,$A41)</x:f>
        <x:v>45</x:v>
      </x:c>
      <x:c r="D41" s="16" t="n">
        <x:f>SUMIFS('Segments'!$G$7:$G$76,'Segments'!$C$7:$C$76,$A41)</x:f>
        <x:v>2</x:v>
      </x:c>
      <x:c r="E41" s="16" t="n">
        <x:f>SUMIFS('Segments'!$H$7:$H$76,'Segments'!$C$7:$C$76,$A41)</x:f>
        <x:v>2</x:v>
      </x:c>
      <x:c r="F41" s="16" t="n">
        <x:f>SUMIFS('Segments'!$I$7:$I$76,'Segments'!$C$7:$C$76,$A41)+SUMIFS('Segments'!$J$7:$J$76,'Segments'!$C$7:$C$76,$A41)</x:f>
        <x:v>0</x:v>
      </x:c>
      <x:c r="G41" s="42" t="n">
        <x:f>SUMIFS('Segments'!$R$7:$R$76,'Segments'!$C$7:$C$76,$A41)</x:f>
        <x:v>4.6345659</x:v>
      </x:c>
      <x:c r="H41" s="20" t="n">
        <x:f>SUMIFS('Segments'!$S$7:$S$76,'Segments'!$C$7:$C$76,$A41)</x:f>
        <x:v>36.3674386173</x:v>
      </x:c>
    </x:row>
    <x:row r="42" ht="22" customHeight="1">
      <x:c r="A42" s="17" t="n">
        <x:v>12</x:v>
      </x:c>
      <x:c r="B42" s="17" t="n">
        <x:f>COUNTIFS('Segments'!$C$7:$C$76,$A42)</x:f>
        <x:v>4</x:v>
      </x:c>
      <x:c r="C42" s="17" t="n">
        <x:f>SUMIFS('Segments'!$F$7:$F$76,'Segments'!$C$7:$C$76,$A42)</x:f>
        <x:v>70</x:v>
      </x:c>
      <x:c r="D42" s="17" t="n">
        <x:f>SUMIFS('Segments'!$G$7:$G$76,'Segments'!$C$7:$C$76,$A42)</x:f>
        <x:v>7</x:v>
      </x:c>
      <x:c r="E42" s="17" t="n">
        <x:f>SUMIFS('Segments'!$H$7:$H$76,'Segments'!$C$7:$C$76,$A42)</x:f>
        <x:v>4</x:v>
      </x:c>
      <x:c r="F42" s="17" t="n">
        <x:f>SUMIFS('Segments'!$I$7:$I$76,'Segments'!$C$7:$C$76,$A42)+SUMIFS('Segments'!$J$7:$J$76,'Segments'!$C$7:$C$76,$A42)</x:f>
        <x:v>3</x:v>
      </x:c>
      <x:c r="G42" s="43" t="n">
        <x:f>SUMIFS('Segments'!$R$7:$R$76,'Segments'!$C$7:$C$76,$A42)</x:f>
        <x:v>7.2131267999999995</x:v>
      </x:c>
      <x:c r="H42" s="21" t="n">
        <x:f>SUMIFS('Segments'!$S$7:$S$76,'Segments'!$C$7:$C$76,$A42)</x:f>
        <x:v>56.601405999600004</x:v>
      </x:c>
    </x:row>
    <x:row r="43" ht="22" customHeight="1">
      <x:c r="A43" s="16" t="n">
        <x:v>13</x:v>
      </x:c>
      <x:c r="B43" s="16" t="n">
        <x:f>COUNTIFS('Segments'!$C$7:$C$76,$A43)</x:f>
        <x:v>4</x:v>
      </x:c>
      <x:c r="C43" s="16" t="n">
        <x:f>SUMIFS('Segments'!$F$7:$F$76,'Segments'!$C$7:$C$76,$A43)</x:f>
        <x:v>55</x:v>
      </x:c>
      <x:c r="D43" s="16" t="n">
        <x:f>SUMIFS('Segments'!$G$7:$G$76,'Segments'!$C$7:$C$76,$A43)</x:f>
        <x:v>5</x:v>
      </x:c>
      <x:c r="E43" s="16" t="n">
        <x:f>SUMIFS('Segments'!$H$7:$H$76,'Segments'!$C$7:$C$76,$A43)</x:f>
        <x:v>5</x:v>
      </x:c>
      <x:c r="F43" s="16" t="n">
        <x:f>SUMIFS('Segments'!$I$7:$I$76,'Segments'!$C$7:$C$76,$A43)+SUMIFS('Segments'!$J$7:$J$76,'Segments'!$C$7:$C$76,$A43)</x:f>
        <x:v>0</x:v>
      </x:c>
      <x:c r="G43" s="42" t="n">
        <x:f>SUMIFS('Segments'!$R$7:$R$76,'Segments'!$C$7:$C$76,$A43)</x:f>
        <x:v>7.011795599999999</x:v>
      </x:c>
      <x:c r="H43" s="20" t="n">
        <x:f>SUMIFS('Segments'!$S$7:$S$76,'Segments'!$C$7:$C$76,$A43)</x:f>
        <x:v>55.0215600732</x:v>
      </x:c>
    </x:row>
    <x:row r="44" ht="22" customHeight="1">
      <x:c r="A44" s="17" t="n">
        <x:v>14</x:v>
      </x:c>
      <x:c r="B44" s="17" t="n">
        <x:f>COUNTIFS('Segments'!$C$7:$C$76,$A44)</x:f>
        <x:v>4</x:v>
      </x:c>
      <x:c r="C44" s="17" t="n">
        <x:f>SUMIFS('Segments'!$F$7:$F$76,'Segments'!$C$7:$C$76,$A44)</x:f>
        <x:v>75</x:v>
      </x:c>
      <x:c r="D44" s="17" t="n">
        <x:f>SUMIFS('Segments'!$G$7:$G$76,'Segments'!$C$7:$C$76,$A44)</x:f>
        <x:v>6</x:v>
      </x:c>
      <x:c r="E44" s="17" t="n">
        <x:f>SUMIFS('Segments'!$H$7:$H$76,'Segments'!$C$7:$C$76,$A44)</x:f>
        <x:v>6</x:v>
      </x:c>
      <x:c r="F44" s="17" t="n">
        <x:f>SUMIFS('Segments'!$I$7:$I$76,'Segments'!$C$7:$C$76,$A44)+SUMIFS('Segments'!$J$7:$J$76,'Segments'!$C$7:$C$76,$A44)</x:f>
        <x:v>0</x:v>
      </x:c>
      <x:c r="G44" s="43" t="n">
        <x:f>SUMIFS('Segments'!$R$7:$R$76,'Segments'!$C$7:$C$76,$A44)</x:f>
        <x:v>11.2309019</x:v>
      </x:c>
      <x:c r="H44" s="21" t="n">
        <x:f>SUMIFS('Segments'!$S$7:$S$76,'Segments'!$C$7:$C$76,$A44)</x:f>
        <x:v>88.1288872093</x:v>
      </x:c>
    </x:row>
    <x:row r="45" ht="22" customHeight="1">
      <x:c r="A45" s="16" t="n">
        <x:v>15</x:v>
      </x:c>
      <x:c r="B45" s="16" t="n">
        <x:f>COUNTIFS('Segments'!$C$7:$C$76,$A45)</x:f>
        <x:v>4</x:v>
      </x:c>
      <x:c r="C45" s="16" t="n">
        <x:f>SUMIFS('Segments'!$F$7:$F$76,'Segments'!$C$7:$C$76,$A45)</x:f>
        <x:v>75</x:v>
      </x:c>
      <x:c r="D45" s="16" t="n">
        <x:f>SUMIFS('Segments'!$G$7:$G$76,'Segments'!$C$7:$C$76,$A45)</x:f>
        <x:v>6</x:v>
      </x:c>
      <x:c r="E45" s="16" t="n">
        <x:f>SUMIFS('Segments'!$H$7:$H$76,'Segments'!$C$7:$C$76,$A45)</x:f>
        <x:v>6</x:v>
      </x:c>
      <x:c r="F45" s="16" t="n">
        <x:f>SUMIFS('Segments'!$I$7:$I$76,'Segments'!$C$7:$C$76,$A45)+SUMIFS('Segments'!$J$7:$J$76,'Segments'!$C$7:$C$76,$A45)</x:f>
        <x:v>0</x:v>
      </x:c>
      <x:c r="G45" s="42" t="n">
        <x:f>SUMIFS('Segments'!$R$7:$R$76,'Segments'!$C$7:$C$76,$A45)</x:f>
        <x:v>12.2589044</x:v>
      </x:c>
      <x:c r="H45" s="20" t="n">
        <x:f>SUMIFS('Segments'!$S$7:$S$76,'Segments'!$C$7:$C$76,$A45)</x:f>
        <x:v>96.19562282680002</x:v>
      </x:c>
    </x:row>
    <x:row r="46" ht="22" customHeight="1">
      <x:c r="A46" s="17" t="n">
        <x:v>16</x:v>
      </x:c>
      <x:c r="B46" s="17" t="n">
        <x:f>COUNTIFS('Segments'!$C$7:$C$76,$A46)</x:f>
        <x:v>8</x:v>
      </x:c>
      <x:c r="C46" s="17" t="n">
        <x:f>SUMIFS('Segments'!$F$7:$F$76,'Segments'!$C$7:$C$76,$A46)</x:f>
        <x:v>150</x:v>
      </x:c>
      <x:c r="D46" s="17" t="n">
        <x:f>SUMIFS('Segments'!$G$7:$G$76,'Segments'!$C$7:$C$76,$A46)</x:f>
        <x:v>12</x:v>
      </x:c>
      <x:c r="E46" s="17" t="n">
        <x:f>SUMIFS('Segments'!$H$7:$H$76,'Segments'!$C$7:$C$76,$A46)</x:f>
        <x:v>12</x:v>
      </x:c>
      <x:c r="F46" s="17" t="n">
        <x:f>SUMIFS('Segments'!$I$7:$I$76,'Segments'!$C$7:$C$76,$A46)+SUMIFS('Segments'!$J$7:$J$76,'Segments'!$C$7:$C$76,$A46)</x:f>
        <x:v>0</x:v>
      </x:c>
      <x:c r="G46" s="43" t="n">
        <x:f>SUMIFS('Segments'!$R$7:$R$76,'Segments'!$C$7:$C$76,$A46)</x:f>
        <x:v>23.387000699999998</x:v>
      </x:c>
      <x:c r="H46" s="21" t="n">
        <x:f>SUMIFS('Segments'!$S$7:$S$76,'Segments'!$C$7:$C$76,$A46)</x:f>
        <x:v>183.5177944929</x:v>
      </x:c>
    </x:row>
    <x:row r="47" ht="22" customHeight="1">
      <x:c r="A47" s="41" t="str">
        <x:v>Total</x:v>
      </x:c>
      <x:c r="B47" s="41" t="n">
        <x:f>SUM(B31:B46)</x:f>
        <x:v>70</x:v>
      </x:c>
      <x:c r="C47" s="41" t="n">
        <x:f>SUM(C31:C46)</x:f>
        <x:v>1200</x:v>
      </x:c>
      <x:c r="D47" s="41" t="n">
        <x:f>SUM(D31:D46)</x:f>
        <x:v>96</x:v>
      </x:c>
      <x:c r="E47" s="41" t="n">
        <x:f>SUM(E31:E46)</x:f>
        <x:v>91</x:v>
      </x:c>
      <x:c r="F47" s="41" t="n">
        <x:f>SUM(F31:F46)</x:f>
        <x:v>5</x:v>
      </x:c>
      <x:c r="G47" s="44" t="n">
        <x:f>SUM(G31:G46)</x:f>
        <x:v>161.16894259999998</x:v>
      </x:c>
      <x:c r="H47" s="45" t="n">
        <x:f>SUM(H31:H46)</x:f>
        <x:v>1264.6926925822004</x:v>
      </x:c>
    </x:row>
    <x:row r="48" ht="22" customHeight="1">
      <x:c r="A48" s="2"/>
      <x:c r="B48" s="2"/>
      <x:c r="C48" s="2"/>
      <x:c r="D48" s="2"/>
      <x:c r="E48" s="2"/>
      <x:c r="F48" s="2"/>
      <x:c r="G48" s="2"/>
      <x:c r="H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</x:row>
    <x:row r="50" ht="22" customHeight="1">
      <x:c r="A50" s="39" t="str">
        <x:v>Sources and calculation method</x:v>
      </x:c>
      <x:c r="B50" s="2"/>
      <x:c r="C50" s="2"/>
      <x:c r="D50" s="2"/>
      <x:c r="E50" s="2"/>
      <x:c r="F50" s="2"/>
      <x:c r="G50" s="2"/>
      <x:c r="H50" s="2"/>
    </x:row>
    <x:row r="51" ht="22" customHeight="1">
      <x:c r="A51" s="38" t="str">
        <x:v>USD = returned completion tokens x published USD rate / 1,000,000. HKD = USD x HKD-per-USD input F7.</x:v>
      </x:c>
      <x:c r="B51" s="2"/>
      <x:c r="C51" s="2"/>
      <x:c r="D51" s="2"/>
      <x:c r="E51" s="2"/>
      <x:c r="F51" s="2"/>
      <x:c r="G51" s="2"/>
      <x:c r="H51" s="2"/>
    </x:row>
    <x:row r="52" ht="22" customHeight="1">
      <x:c r="A52" s="38" t="str">
        <x:v>BytePlus Seedance 2.5 pricing and successful-generation billing policy, checked 16 October 2026:</x:v>
      </x:c>
      <x:c r="B52" s="2"/>
      <x:c r="C52" s="2"/>
      <x:c r="D52" s="2"/>
      <x:c r="E52" s="2"/>
      <x:c r="F52" s="2"/>
      <x:c r="G52" s="2"/>
      <x:c r="H52" s="2"/>
    </x:row>
    <x:row r="53" ht="22" customHeight="1">
      <x:c r="A53" s="38" t="str">
        <x:v>https://docs.byteplus.com/id/docs/modelark/model-pricing?redirect=1</x:v>
      </x:c>
      <x:c r="B53" s="2"/>
      <x:c r="C53" s="2"/>
      <x:c r="D53" s="2"/>
      <x:c r="E53" s="2"/>
      <x:c r="F53" s="2"/>
      <x:c r="G53" s="2"/>
      <x:c r="H53" s="2"/>
    </x:row>
    <x:row r="54" ht="22" customHeight="1">
      <x:c r="A54" s="38" t="str">
        <x:v>USD/HKD: YCharts ECB-derived observation for 15 October 2026. Conversion input F7 can be changed.</x:v>
      </x:c>
      <x:c r="B54" s="2"/>
      <x:c r="C54" s="2"/>
      <x:c r="D54" s="2"/>
      <x:c r="E54" s="2"/>
      <x:c r="F54" s="2"/>
      <x:c r="G54" s="2"/>
      <x:c r="H54" s="2"/>
    </x:row>
    <x:row r="55" ht="22" customHeight="1">
      <x:c r="A55" s="38" t="str">
        <x:v>https://ycharts.com/indicators/us_dollar_to_hong_kong_dollar_exchange_rate</x:v>
      </x:c>
      <x:c r="B55" s="2"/>
      <x:c r="C55" s="2"/>
      <x:c r="D55" s="2"/>
      <x:c r="E55" s="2"/>
      <x:c r="F55" s="2"/>
      <x:c r="G55" s="2"/>
      <x:c r="H55" s="2"/>
    </x:row>
    <x:row r="56" ht="22" customHeight="1">
      <x:c r="A56" s="38" t="str">
        <x:v>Records: project revision 57, usage ledger, full take journal, assembly settings and selected local-edit records.</x:v>
      </x:c>
      <x:c r="B56" s="2"/>
      <x:c r="C56" s="2"/>
      <x:c r="D56" s="2"/>
      <x:c r="E56" s="2"/>
      <x:c r="F56" s="2"/>
      <x:c r="G56" s="2"/>
      <x:c r="H56" s="2"/>
    </x:row>
    <x:row r="57" ht="22" customHeight="1">
      <x:c r="A57" s="38" t="str">
        <x:v>Reconciled 96 unique attempts and 94 task IDs. All 91 generated files exist. All 70 segments have selected sources.</x:v>
      </x:c>
      <x:c r="B57" s="2"/>
      <x:c r="C57" s="2"/>
      <x:c r="D57" s="2"/>
      <x:c r="E57" s="2"/>
      <x:c r="F57" s="2"/>
      <x:c r="G57" s="2"/>
      <x:c r="H57" s="2"/>
    </x:row>
    <x:row r="58" ht="22" customHeight="1">
      <x:c r="A58" s="38" t="str">
        <x:v>Every successful job has returned completion-token usage. No duration-based token estimates were needed.</x:v>
      </x:c>
      <x:c r="B58" s="2"/>
      <x:c r="C58" s="2"/>
      <x:c r="D58" s="2"/>
      <x:c r="E58" s="2"/>
      <x:c r="F58" s="2"/>
      <x:c r="G58" s="2"/>
      <x:c r="H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396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" hidden="0" customWidth="1"/>
    <x:col min="2" max="2" width="13" hidden="0" customWidth="1"/>
    <x:col min="3" max="3" width="7" hidden="0" customWidth="1"/>
    <x:col min="4" max="4" width="61" hidden="0" customWidth="1"/>
    <x:col min="5" max="5" width="15" hidden="0" customWidth="1"/>
    <x:col min="6" max="6" width="12" hidden="0" customWidth="1"/>
    <x:col min="7" max="7" width="12" hidden="0" customWidth="1"/>
    <x:col min="8" max="8" width="13" hidden="0" customWidth="1"/>
    <x:col min="9" max="9" width="15" hidden="0" customWidth="1"/>
    <x:col min="10" max="10" width="16" hidden="0" customWidth="1"/>
    <x:col min="11" max="11" width="15" hidden="0" customWidth="1"/>
    <x:col min="12" max="12" width="16" hidden="0" customWidth="1"/>
    <x:col min="13" max="13" width="21" hidden="0" customWidth="1"/>
    <x:col min="14" max="14" width="17" hidden="0" customWidth="1"/>
    <x:col min="15" max="15" width="17" hidden="0" customWidth="1"/>
    <x:col min="16" max="16" width="18" hidden="0" customWidth="1"/>
    <x:col min="17" max="17" width="18" hidden="0" customWidth="1"/>
    <x:col min="18" max="18" width="22" hidden="0" customWidth="1"/>
    <x:col min="19" max="19" width="21" hidden="0" customWidth="1"/>
    <x:col min="20" max="20" width="41" hidden="0" customWidth="1"/>
    <x:col min="21" max="21" width="21" hidden="0" customWidth="1"/>
    <x:col min="22" max="22" width="12" hidden="0" customWidth="1"/>
    <x:col min="23" max="23" width="10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8" customHeight="1">
      <x:c r="A2" s="3" t="str">
        <x:v>dog-20261014 segment breakdown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2" customHeight="1">
      <x:c r="A4" s="4" t="str">
        <x:v>First success = request number returning the first video. All requests include later quality revisions.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58" customHeight="1">
      <x:c r="A6" s="8" t="str">
        <x:v>#</x:v>
      </x:c>
      <x:c r="B6" s="8" t="str">
        <x:v>Segment</x:v>
      </x:c>
      <x:c r="C6" s="8" t="str">
        <x:v>Scene</x:v>
      </x:c>
      <x:c r="D6" s="8" t="str">
        <x:v>Description</x:v>
      </x:c>
      <x:c r="E6" s="8" t="str">
        <x:v>Timeline start (s)</x:v>
      </x:c>
      <x:c r="F6" s="8" t="str">
        <x:v>Duration (s)</x:v>
      </x:c>
      <x:c r="G6" s="8" t="str">
        <x:v>All requests</x:v>
      </x:c>
      <x:c r="H6" s="8" t="str">
        <x:v>Videos generated</x:v>
      </x:c>
      <x:c r="I6" s="8" t="str">
        <x:v>Failed after acceptance</x:v>
      </x:c>
      <x:c r="J6" s="8" t="str">
        <x:v>Rejected before generation</x:v>
      </x:c>
      <x:c r="K6" s="8" t="str">
        <x:v>Requests to first success</x:v>
      </x:c>
      <x:c r="L6" s="8" t="str">
        <x:v>First successful take</x:v>
      </x:c>
      <x:c r="M6" s="8" t="str">
        <x:v>Final selected take</x:v>
      </x:c>
      <x:c r="N6" s="8" t="str">
        <x:v>Native source take</x:v>
      </x:c>
      <x:c r="O6" s="8" t="str">
        <x:v>Successful output (s)</x:v>
      </x:c>
      <x:c r="P6" s="8" t="str">
        <x:v>All requested duration (s)</x:v>
      </x:c>
      <x:c r="Q6" s="8" t="str">
        <x:v>Completion tokens</x:v>
      </x:c>
      <x:c r="R6" s="8" t="str">
        <x:v>Estimated cost (USD)</x:v>
      </x:c>
      <x:c r="S6" s="8" t="str">
        <x:v>Estimated cost (HKD)</x:v>
      </x:c>
      <x:c r="T6" s="8" t="str">
        <x:v>Seedance model</x:v>
      </x:c>
      <x:c r="U6" s="8" t="str">
        <x:v>Native resolution</x:v>
      </x:c>
      <x:c r="V6" s="8" t="str">
        <x:v>Aspect ratio</x:v>
      </x:c>
      <x:c r="W6" s="8" t="str">
        <x:v>Revision / edit notes</x:v>
      </x:c>
    </x:row>
    <x:row r="7" ht="32" customHeight="1">
      <x:c r="A7" s="2" t="n">
        <x:v>1</x:v>
      </x:c>
      <x:c r="B7" s="2" t="str">
        <x:v>s01_c01</x:v>
      </x:c>
      <x:c r="C7" s="2" t="n">
        <x:v>1</x:v>
      </x:c>
      <x:c r="D7" s="22" t="str">
        <x:v>Bench puzzle and Tine's stuck-bottom gag</x:v>
      </x:c>
      <x:c r="E7" s="16" t="n">
        <x:v>0</x:v>
      </x:c>
      <x:c r="F7" s="16" t="n">
        <x:v>16</x:v>
      </x:c>
      <x:c r="G7" s="16" t="n">
        <x:f>COUNTIFS('Attempts'!$B$7:$B$102,$B7)</x:f>
        <x:v>1</x:v>
      </x:c>
      <x:c r="H7" s="16" t="n">
        <x:f>COUNTIFS('Attempts'!$B$7:$B$102,$B7,'Attempts'!$D$7:$D$102,"succeeded")</x:f>
        <x:v>1</x:v>
      </x:c>
      <x:c r="I7" s="16" t="n">
        <x:f>COUNTIFS('Attempts'!$B$7:$B$102,$B7,'Attempts'!$D$7:$D$102,"failed")</x:f>
        <x:v>0</x:v>
      </x:c>
      <x:c r="J7" s="16" t="n">
        <x:f>COUNTIFS('Attempts'!$B$7:$B$102,$B7,'Attempts'!$D$7:$D$102,"rejected")</x:f>
        <x:v>0</x:v>
      </x:c>
      <x:c r="K7" s="16" t="n">
        <x:v>1</x:v>
      </x:c>
      <x:c r="L7" s="2" t="str">
        <x:v>take_01</x:v>
      </x:c>
      <x:c r="M7" s="2" t="str">
        <x:v>take_01</x:v>
      </x:c>
      <x:c r="N7" s="2" t="str">
        <x:v>take_01</x:v>
      </x:c>
      <x:c r="O7" s="16" t="n">
        <x:f>SUMIFS('Attempts'!$L$7:$L$102,'Attempts'!$B$7:$B$102,$B7)</x:f>
        <x:v>16</x:v>
      </x:c>
      <x:c r="P7" s="16" t="n">
        <x:f>SUMIFS('Attempts'!$I$7:$I$102,'Attempts'!$B$7:$B$102,$B7)</x:f>
        <x:v>16</x:v>
      </x:c>
      <x:c r="Q7" s="16" t="n">
        <x:f>SUMIFS('Attempts'!$K$7:$K$102,'Attempts'!$B$7:$B$102,$B7)</x:f>
        <x:v>154120</x:v>
      </x:c>
      <x:c r="R7" s="18" t="n">
        <x:f>SUMIFS('Attempts'!$O$7:$O$102,'Attempts'!$B$7:$B$102,$B7)</x:f>
        <x:v>1.649084</x:v>
      </x:c>
      <x:c r="S7" s="20" t="n">
        <x:f>SUMIFS('Attempts'!$P$7:$P$102,'Attempts'!$B$7:$B$102,$B7)</x:f>
        <x:v>12.940362148</x:v>
      </x:c>
      <x:c r="T7" s="2" t="str">
        <x:v>dreamina-seedance-2-5-260628</x:v>
      </x:c>
      <x:c r="U7" s="2" t="str">
        <x:v>480p (854x480)</x:v>
      </x:c>
      <x:c r="V7" s="2" t="str">
        <x:v>16:9</x:v>
      </x:c>
      <x:c r="W7" s="2" t="str"/>
    </x:row>
    <x:row r="8" ht="32" customHeight="1">
      <x:c r="A8" s="9" t="n">
        <x:v>2</x:v>
      </x:c>
      <x:c r="B8" s="9" t="str">
        <x:v>s01_c02</x:v>
      </x:c>
      <x:c r="C8" s="9" t="n">
        <x:v>1</x:v>
      </x:c>
      <x:c r="D8" s="23" t="str">
        <x:v>Two squeaks, contrasting bows, accidental sit and sharing</x:v>
      </x:c>
      <x:c r="E8" s="17" t="n">
        <x:v>16</x:v>
      </x:c>
      <x:c r="F8" s="17" t="n">
        <x:v>16</x:v>
      </x:c>
      <x:c r="G8" s="17" t="n">
        <x:f>COUNTIFS('Attempts'!$B$7:$B$102,$B8)</x:f>
        <x:v>1</x:v>
      </x:c>
      <x:c r="H8" s="17" t="n">
        <x:f>COUNTIFS('Attempts'!$B$7:$B$102,$B8,'Attempts'!$D$7:$D$102,"succeeded")</x:f>
        <x:v>1</x:v>
      </x:c>
      <x:c r="I8" s="17" t="n">
        <x:f>COUNTIFS('Attempts'!$B$7:$B$102,$B8,'Attempts'!$D$7:$D$102,"failed")</x:f>
        <x:v>0</x:v>
      </x:c>
      <x:c r="J8" s="17" t="n">
        <x:f>COUNTIFS('Attempts'!$B$7:$B$102,$B8,'Attempts'!$D$7:$D$102,"rejected")</x:f>
        <x:v>0</x:v>
      </x:c>
      <x:c r="K8" s="17" t="n">
        <x:v>1</x:v>
      </x:c>
      <x:c r="L8" s="9" t="str">
        <x:v>take_01</x:v>
      </x:c>
      <x:c r="M8" s="9" t="str">
        <x:v>take_01</x:v>
      </x:c>
      <x:c r="N8" s="9" t="str">
        <x:v>take_01</x:v>
      </x:c>
      <x:c r="O8" s="17" t="n">
        <x:f>SUMIFS('Attempts'!$L$7:$L$102,'Attempts'!$B$7:$B$102,$B8)</x:f>
        <x:v>16</x:v>
      </x:c>
      <x:c r="P8" s="17" t="n">
        <x:f>SUMIFS('Attempts'!$I$7:$I$102,'Attempts'!$B$7:$B$102,$B8)</x:f>
        <x:v>16</x:v>
      </x:c>
      <x:c r="Q8" s="17" t="n">
        <x:f>SUMIFS('Attempts'!$K$7:$K$102,'Attempts'!$B$7:$B$102,$B8)</x:f>
        <x:v>154120</x:v>
      </x:c>
      <x:c r="R8" s="19" t="n">
        <x:f>SUMIFS('Attempts'!$O$7:$O$102,'Attempts'!$B$7:$B$102,$B8)</x:f>
        <x:v>1.649084</x:v>
      </x:c>
      <x:c r="S8" s="21" t="n">
        <x:f>SUMIFS('Attempts'!$P$7:$P$102,'Attempts'!$B$7:$B$102,$B8)</x:f>
        <x:v>12.940362148</x:v>
      </x:c>
      <x:c r="T8" s="9" t="str">
        <x:v>dreamina-seedance-2-5-260628</x:v>
      </x:c>
      <x:c r="U8" s="9" t="str">
        <x:v>480p (854x480)</x:v>
      </x:c>
      <x:c r="V8" s="9" t="str">
        <x:v>16:9</x:v>
      </x:c>
      <x:c r="W8" s="9" t="str"/>
    </x:row>
    <x:row r="9" ht="32" customHeight="1">
      <x:c r="A9" s="2" t="n">
        <x:v>3</x:v>
      </x:c>
      <x:c r="B9" s="2" t="str">
        <x:v>s01_c03</x:v>
      </x:c>
      <x:c r="C9" s="2" t="n">
        <x:v>1</x:v>
      </x:c>
      <x:c r="D9" s="22" t="str">
        <x:v>Brisk run and wet-paw reaction</x:v>
      </x:c>
      <x:c r="E9" s="16" t="n">
        <x:v>32</x:v>
      </x:c>
      <x:c r="F9" s="16" t="n">
        <x:v>14</x:v>
      </x:c>
      <x:c r="G9" s="16" t="n">
        <x:f>COUNTIFS('Attempts'!$B$7:$B$102,$B9)</x:f>
        <x:v>1</x:v>
      </x:c>
      <x:c r="H9" s="16" t="n">
        <x:f>COUNTIFS('Attempts'!$B$7:$B$102,$B9,'Attempts'!$D$7:$D$102,"succeeded")</x:f>
        <x:v>1</x:v>
      </x:c>
      <x:c r="I9" s="16" t="n">
        <x:f>COUNTIFS('Attempts'!$B$7:$B$102,$B9,'Attempts'!$D$7:$D$102,"failed")</x:f>
        <x:v>0</x:v>
      </x:c>
      <x:c r="J9" s="16" t="n">
        <x:f>COUNTIFS('Attempts'!$B$7:$B$102,$B9,'Attempts'!$D$7:$D$102,"rejected")</x:f>
        <x:v>0</x:v>
      </x:c>
      <x:c r="K9" s="16" t="n">
        <x:v>1</x:v>
      </x:c>
      <x:c r="L9" s="2" t="str">
        <x:v>take_01</x:v>
      </x:c>
      <x:c r="M9" s="2" t="str">
        <x:v>take_01</x:v>
      </x:c>
      <x:c r="N9" s="2" t="str">
        <x:v>take_01</x:v>
      </x:c>
      <x:c r="O9" s="16" t="n">
        <x:f>SUMIFS('Attempts'!$L$7:$L$102,'Attempts'!$B$7:$B$102,$B9)</x:f>
        <x:v>14</x:v>
      </x:c>
      <x:c r="P9" s="16" t="n">
        <x:f>SUMIFS('Attempts'!$I$7:$I$102,'Attempts'!$B$7:$B$102,$B9)</x:f>
        <x:v>14</x:v>
      </x:c>
      <x:c r="Q9" s="16" t="n">
        <x:f>SUMIFS('Attempts'!$K$7:$K$102,'Attempts'!$B$7:$B$102,$B9)</x:f>
        <x:v>134905</x:v>
      </x:c>
      <x:c r="R9" s="18" t="n">
        <x:f>SUMIFS('Attempts'!$O$7:$O$102,'Attempts'!$B$7:$B$102,$B9)</x:f>
        <x:v>1.4434835</x:v>
      </x:c>
      <x:c r="S9" s="20" t="n">
        <x:f>SUMIFS('Attempts'!$P$7:$P$102,'Attempts'!$B$7:$B$102,$B9)</x:f>
        <x:v>11.3270150245</x:v>
      </x:c>
      <x:c r="T9" s="2" t="str">
        <x:v>dreamina-seedance-2-5-260628</x:v>
      </x:c>
      <x:c r="U9" s="2" t="str">
        <x:v>480p (854x480)</x:v>
      </x:c>
      <x:c r="V9" s="2" t="str">
        <x:v>16:9</x:v>
      </x:c>
      <x:c r="W9" s="2" t="str"/>
    </x:row>
    <x:row r="10" ht="32" customHeight="1">
      <x:c r="A10" s="9" t="n">
        <x:v>4</x:v>
      </x:c>
      <x:c r="B10" s="9" t="str">
        <x:v>s01_c04</x:v>
      </x:c>
      <x:c r="C10" s="9" t="n">
        <x:v>1</x:v>
      </x:c>
      <x:c r="D10" s="23" t="str">
        <x:v>Rain, failed dry spot, cuddle and canonical photograph</x:v>
      </x:c>
      <x:c r="E10" s="17" t="n">
        <x:v>46</x:v>
      </x:c>
      <x:c r="F10" s="17" t="n">
        <x:v>18</x:v>
      </x:c>
      <x:c r="G10" s="17" t="n">
        <x:f>COUNTIFS('Attempts'!$B$7:$B$102,$B10)</x:f>
        <x:v>1</x:v>
      </x:c>
      <x:c r="H10" s="17" t="n">
        <x:f>COUNTIFS('Attempts'!$B$7:$B$102,$B10,'Attempts'!$D$7:$D$102,"succeeded")</x:f>
        <x:v>1</x:v>
      </x:c>
      <x:c r="I10" s="17" t="n">
        <x:f>COUNTIFS('Attempts'!$B$7:$B$102,$B10,'Attempts'!$D$7:$D$102,"failed")</x:f>
        <x:v>0</x:v>
      </x:c>
      <x:c r="J10" s="17" t="n">
        <x:f>COUNTIFS('Attempts'!$B$7:$B$102,$B10,'Attempts'!$D$7:$D$102,"rejected")</x:f>
        <x:v>0</x:v>
      </x:c>
      <x:c r="K10" s="17" t="n">
        <x:v>1</x:v>
      </x:c>
      <x:c r="L10" s="9" t="str">
        <x:v>take_01</x:v>
      </x:c>
      <x:c r="M10" s="9" t="str">
        <x:v>take_01</x:v>
      </x:c>
      <x:c r="N10" s="9" t="str">
        <x:v>take_01</x:v>
      </x:c>
      <x:c r="O10" s="17" t="n">
        <x:f>SUMIFS('Attempts'!$L$7:$L$102,'Attempts'!$B$7:$B$102,$B10)</x:f>
        <x:v>18</x:v>
      </x:c>
      <x:c r="P10" s="17" t="n">
        <x:f>SUMIFS('Attempts'!$I$7:$I$102,'Attempts'!$B$7:$B$102,$B10)</x:f>
        <x:v>18</x:v>
      </x:c>
      <x:c r="Q10" s="17" t="n">
        <x:f>SUMIFS('Attempts'!$K$7:$K$102,'Attempts'!$B$7:$B$102,$B10)</x:f>
        <x:v>173335</x:v>
      </x:c>
      <x:c r="R10" s="19" t="n">
        <x:f>SUMIFS('Attempts'!$O$7:$O$102,'Attempts'!$B$7:$B$102,$B10)</x:f>
        <x:v>1.8546844999999998</x:v>
      </x:c>
      <x:c r="S10" s="21" t="n">
        <x:f>SUMIFS('Attempts'!$P$7:$P$102,'Attempts'!$B$7:$B$102,$B10)</x:f>
        <x:v>14.553709271499999</x:v>
      </x:c>
      <x:c r="T10" s="9" t="str">
        <x:v>dreamina-seedance-2-5-260628</x:v>
      </x:c>
      <x:c r="U10" s="9" t="str">
        <x:v>480p (854x480)</x:v>
      </x:c>
      <x:c r="V10" s="9" t="str">
        <x:v>16:9</x:v>
      </x:c>
      <x:c r="W10" s="9" t="str"/>
    </x:row>
    <x:row r="11" ht="32" customHeight="1">
      <x:c r="A11" s="2" t="n">
        <x:v>5</x:v>
      </x:c>
      <x:c r="B11" s="2" t="str">
        <x:v>s01_c05</x:v>
      </x:c>
      <x:c r="C11" s="2" t="n">
        <x:v>1</x:v>
      </x:c>
      <x:c r="D11" s="22" t="str">
        <x:v>Months later: contact, separate crates and departures</x:v>
      </x:c>
      <x:c r="E11" s="16" t="n">
        <x:v>64</x:v>
      </x:c>
      <x:c r="F11" s="16" t="n">
        <x:v>21</x:v>
      </x:c>
      <x:c r="G11" s="16" t="n">
        <x:f>COUNTIFS('Attempts'!$B$7:$B$102,$B11)</x:f>
        <x:v>1</x:v>
      </x:c>
      <x:c r="H11" s="16" t="n">
        <x:f>COUNTIFS('Attempts'!$B$7:$B$102,$B11,'Attempts'!$D$7:$D$102,"succeeded")</x:f>
        <x:v>1</x:v>
      </x:c>
      <x:c r="I11" s="16" t="n">
        <x:f>COUNTIFS('Attempts'!$B$7:$B$102,$B11,'Attempts'!$D$7:$D$102,"failed")</x:f>
        <x:v>0</x:v>
      </x:c>
      <x:c r="J11" s="16" t="n">
        <x:f>COUNTIFS('Attempts'!$B$7:$B$102,$B11,'Attempts'!$D$7:$D$102,"rejected")</x:f>
        <x:v>0</x:v>
      </x:c>
      <x:c r="K11" s="16" t="n">
        <x:v>1</x:v>
      </x:c>
      <x:c r="L11" s="2" t="str">
        <x:v>take_01</x:v>
      </x:c>
      <x:c r="M11" s="2" t="str">
        <x:v>take_01</x:v>
      </x:c>
      <x:c r="N11" s="2" t="str">
        <x:v>take_01</x:v>
      </x:c>
      <x:c r="O11" s="16" t="n">
        <x:f>SUMIFS('Attempts'!$L$7:$L$102,'Attempts'!$B$7:$B$102,$B11)</x:f>
        <x:v>21</x:v>
      </x:c>
      <x:c r="P11" s="16" t="n">
        <x:f>SUMIFS('Attempts'!$I$7:$I$102,'Attempts'!$B$7:$B$102,$B11)</x:f>
        <x:v>21</x:v>
      </x:c>
      <x:c r="Q11" s="16" t="n">
        <x:f>SUMIFS('Attempts'!$K$7:$K$102,'Attempts'!$B$7:$B$102,$B11)</x:f>
        <x:v>202157</x:v>
      </x:c>
      <x:c r="R11" s="18" t="n">
        <x:f>SUMIFS('Attempts'!$O$7:$O$102,'Attempts'!$B$7:$B$102,$B11)</x:f>
        <x:v>2.1630799</x:v>
      </x:c>
      <x:c r="S11" s="20" t="n">
        <x:f>SUMIFS('Attempts'!$P$7:$P$102,'Attempts'!$B$7:$B$102,$B11)</x:f>
        <x:v>16.973687975300003</x:v>
      </x:c>
      <x:c r="T11" s="2" t="str">
        <x:v>dreamina-seedance-2-5-260628</x:v>
      </x:c>
      <x:c r="U11" s="2" t="str">
        <x:v>480p (854x480)</x:v>
      </x:c>
      <x:c r="V11" s="2" t="str">
        <x:v>16:9</x:v>
      </x:c>
      <x:c r="W11" s="2" t="str"/>
    </x:row>
    <x:row r="12" ht="32" customHeight="1">
      <x:c r="A12" s="9" t="n">
        <x:v>6</x:v>
      </x:c>
      <x:c r="B12" s="9" t="str">
        <x:v>s02_c01</x:v>
      </x:c>
      <x:c r="C12" s="9" t="n">
        <x:v>2</x:v>
      </x:c>
      <x:c r="D12" s="23" t="str">
        <x:v>Tart learns to clear a route for two bodies</x:v>
      </x:c>
      <x:c r="E12" s="17" t="n">
        <x:v>85</x:v>
      </x:c>
      <x:c r="F12" s="17" t="n">
        <x:v>18</x:v>
      </x:c>
      <x:c r="G12" s="17" t="n">
        <x:f>COUNTIFS('Attempts'!$B$7:$B$102,$B12)</x:f>
        <x:v>1</x:v>
      </x:c>
      <x:c r="H12" s="17" t="n">
        <x:f>COUNTIFS('Attempts'!$B$7:$B$102,$B12,'Attempts'!$D$7:$D$102,"succeeded")</x:f>
        <x:v>1</x:v>
      </x:c>
      <x:c r="I12" s="17" t="n">
        <x:f>COUNTIFS('Attempts'!$B$7:$B$102,$B12,'Attempts'!$D$7:$D$102,"failed")</x:f>
        <x:v>0</x:v>
      </x:c>
      <x:c r="J12" s="17" t="n">
        <x:f>COUNTIFS('Attempts'!$B$7:$B$102,$B12,'Attempts'!$D$7:$D$102,"rejected")</x:f>
        <x:v>0</x:v>
      </x:c>
      <x:c r="K12" s="17" t="n">
        <x:v>1</x:v>
      </x:c>
      <x:c r="L12" s="9" t="str">
        <x:v>take_01</x:v>
      </x:c>
      <x:c r="M12" s="9" t="str">
        <x:v>take_01</x:v>
      </x:c>
      <x:c r="N12" s="9" t="str">
        <x:v>take_01</x:v>
      </x:c>
      <x:c r="O12" s="17" t="n">
        <x:f>SUMIFS('Attempts'!$L$7:$L$102,'Attempts'!$B$7:$B$102,$B12)</x:f>
        <x:v>18</x:v>
      </x:c>
      <x:c r="P12" s="17" t="n">
        <x:f>SUMIFS('Attempts'!$I$7:$I$102,'Attempts'!$B$7:$B$102,$B12)</x:f>
        <x:v>18</x:v>
      </x:c>
      <x:c r="Q12" s="17" t="n">
        <x:f>SUMIFS('Attempts'!$K$7:$K$102,'Attempts'!$B$7:$B$102,$B12)</x:f>
        <x:v>173335</x:v>
      </x:c>
      <x:c r="R12" s="19" t="n">
        <x:f>SUMIFS('Attempts'!$O$7:$O$102,'Attempts'!$B$7:$B$102,$B12)</x:f>
        <x:v>1.8546844999999998</x:v>
      </x:c>
      <x:c r="S12" s="21" t="n">
        <x:f>SUMIFS('Attempts'!$P$7:$P$102,'Attempts'!$B$7:$B$102,$B12)</x:f>
        <x:v>14.553709271499999</x:v>
      </x:c>
      <x:c r="T12" s="9" t="str">
        <x:v>dreamina-seedance-2-5-260628</x:v>
      </x:c>
      <x:c r="U12" s="9" t="str">
        <x:v>480p (854x480)</x:v>
      </x:c>
      <x:c r="V12" s="9" t="str">
        <x:v>16:9</x:v>
      </x:c>
      <x:c r="W12" s="9" t="str"/>
    </x:row>
    <x:row r="13" ht="32" customHeight="1">
      <x:c r="A13" s="2" t="n">
        <x:v>7</x:v>
      </x:c>
      <x:c r="B13" s="2" t="str">
        <x:v>s02_c02</x:v>
      </x:c>
      <x:c r="C13" s="2" t="n">
        <x:v>2</x:v>
      </x:c>
      <x:c r="D13" s="22" t="str">
        <x:v>Tine learns to respect a withdrawn hand</x:v>
      </x:c>
      <x:c r="E13" s="16" t="n">
        <x:v>103</x:v>
      </x:c>
      <x:c r="F13" s="16" t="n">
        <x:v>16</x:v>
      </x:c>
      <x:c r="G13" s="16" t="n">
        <x:f>COUNTIFS('Attempts'!$B$7:$B$102,$B13)</x:f>
        <x:v>1</x:v>
      </x:c>
      <x:c r="H13" s="16" t="n">
        <x:f>COUNTIFS('Attempts'!$B$7:$B$102,$B13,'Attempts'!$D$7:$D$102,"succeeded")</x:f>
        <x:v>1</x:v>
      </x:c>
      <x:c r="I13" s="16" t="n">
        <x:f>COUNTIFS('Attempts'!$B$7:$B$102,$B13,'Attempts'!$D$7:$D$102,"failed")</x:f>
        <x:v>0</x:v>
      </x:c>
      <x:c r="J13" s="16" t="n">
        <x:f>COUNTIFS('Attempts'!$B$7:$B$102,$B13,'Attempts'!$D$7:$D$102,"rejected")</x:f>
        <x:v>0</x:v>
      </x:c>
      <x:c r="K13" s="16" t="n">
        <x:v>1</x:v>
      </x:c>
      <x:c r="L13" s="2" t="str">
        <x:v>take_01</x:v>
      </x:c>
      <x:c r="M13" s="2" t="str">
        <x:v>take_01</x:v>
      </x:c>
      <x:c r="N13" s="2" t="str">
        <x:v>take_01</x:v>
      </x:c>
      <x:c r="O13" s="16" t="n">
        <x:f>SUMIFS('Attempts'!$L$7:$L$102,'Attempts'!$B$7:$B$102,$B13)</x:f>
        <x:v>16</x:v>
      </x:c>
      <x:c r="P13" s="16" t="n">
        <x:f>SUMIFS('Attempts'!$I$7:$I$102,'Attempts'!$B$7:$B$102,$B13)</x:f>
        <x:v>16</x:v>
      </x:c>
      <x:c r="Q13" s="16" t="n">
        <x:f>SUMIFS('Attempts'!$K$7:$K$102,'Attempts'!$B$7:$B$102,$B13)</x:f>
        <x:v>154120</x:v>
      </x:c>
      <x:c r="R13" s="18" t="n">
        <x:f>SUMIFS('Attempts'!$O$7:$O$102,'Attempts'!$B$7:$B$102,$B13)</x:f>
        <x:v>1.649084</x:v>
      </x:c>
      <x:c r="S13" s="20" t="n">
        <x:f>SUMIFS('Attempts'!$P$7:$P$102,'Attempts'!$B$7:$B$102,$B13)</x:f>
        <x:v>12.940362148</x:v>
      </x:c>
      <x:c r="T13" s="2" t="str">
        <x:v>dreamina-seedance-2-5-260628</x:v>
      </x:c>
      <x:c r="U13" s="2" t="str">
        <x:v>480p (854x480)</x:v>
      </x:c>
      <x:c r="V13" s="2" t="str">
        <x:v>16:9</x:v>
      </x:c>
      <x:c r="W13" s="2" t="str"/>
    </x:row>
    <x:row r="14" ht="32" customHeight="1">
      <x:c r="A14" s="9" t="n">
        <x:v>8</x:v>
      </x:c>
      <x:c r="B14" s="9" t="str">
        <x:v>s02_c03</x:v>
      </x:c>
      <x:c r="C14" s="9" t="n">
        <x:v>2</x:v>
      </x:c>
      <x:c r="D14" s="23" t="str">
        <x:v>Ah Ming and May introductions; chin-on-knee compromise</x:v>
      </x:c>
      <x:c r="E14" s="17" t="n">
        <x:v>119</x:v>
      </x:c>
      <x:c r="F14" s="17" t="n">
        <x:v>18</x:v>
      </x:c>
      <x:c r="G14" s="17" t="n">
        <x:f>COUNTIFS('Attempts'!$B$7:$B$102,$B14)</x:f>
        <x:v>4</x:v>
      </x:c>
      <x:c r="H14" s="17" t="n">
        <x:f>COUNTIFS('Attempts'!$B$7:$B$102,$B14,'Attempts'!$D$7:$D$102,"succeeded")</x:f>
        <x:v>3</x:v>
      </x:c>
      <x:c r="I14" s="17" t="n">
        <x:f>COUNTIFS('Attempts'!$B$7:$B$102,$B14,'Attempts'!$D$7:$D$102,"failed")</x:f>
        <x:v>1</x:v>
      </x:c>
      <x:c r="J14" s="17" t="n">
        <x:f>COUNTIFS('Attempts'!$B$7:$B$102,$B14,'Attempts'!$D$7:$D$102,"rejected")</x:f>
        <x:v>0</x:v>
      </x:c>
      <x:c r="K14" s="17" t="n">
        <x:v>1</x:v>
      </x:c>
      <x:c r="L14" s="9" t="str">
        <x:v>take_01</x:v>
      </x:c>
      <x:c r="M14" s="9" t="str">
        <x:v>take_04</x:v>
      </x:c>
      <x:c r="N14" s="9" t="str">
        <x:v>take_04</x:v>
      </x:c>
      <x:c r="O14" s="17" t="n">
        <x:f>SUMIFS('Attempts'!$L$7:$L$102,'Attempts'!$B$7:$B$102,$B14)</x:f>
        <x:v>54</x:v>
      </x:c>
      <x:c r="P14" s="17" t="n">
        <x:f>SUMIFS('Attempts'!$I$7:$I$102,'Attempts'!$B$7:$B$102,$B14)</x:f>
        <x:v>72</x:v>
      </x:c>
      <x:c r="Q14" s="17" t="n">
        <x:f>SUMIFS('Attempts'!$K$7:$K$102,'Attempts'!$B$7:$B$102,$B14)</x:f>
        <x:v>520005</x:v>
      </x:c>
      <x:c r="R14" s="19" t="n">
        <x:f>SUMIFS('Attempts'!$O$7:$O$102,'Attempts'!$B$7:$B$102,$B14)</x:f>
        <x:v>5.5640535</x:v>
      </x:c>
      <x:c r="S14" s="21" t="n">
        <x:f>SUMIFS('Attempts'!$P$7:$P$102,'Attempts'!$B$7:$B$102,$B14)</x:f>
        <x:v>43.6611278145</x:v>
      </x:c>
      <x:c r="T14" s="9" t="str">
        <x:v>dreamina-seedance-2-5-260628</x:v>
      </x:c>
      <x:c r="U14" s="9" t="str">
        <x:v>480p (854x480)</x:v>
      </x:c>
      <x:c r="V14" s="9" t="str">
        <x:v>16:9</x:v>
      </x:c>
      <x:c r="W14" s="9" t="str">
        <x:v>Guide lead and floor staging revised. Take 03 failed output-audio policy.</x:v>
      </x:c>
    </x:row>
    <x:row r="15" ht="32" customHeight="1">
      <x:c r="A15" s="2" t="n">
        <x:v>9</x:v>
      </x:c>
      <x:c r="B15" s="2" t="str">
        <x:v>s02_c04</x:v>
      </x:c>
      <x:c r="C15" s="2" t="n">
        <x:v>2</x:v>
      </x:c>
      <x:c r="D15" s="22" t="str">
        <x:v>May receives the same print; young-to-adult paw match</x:v>
      </x:c>
      <x:c r="E15" s="16" t="n">
        <x:v>137</x:v>
      </x:c>
      <x:c r="F15" s="16" t="n">
        <x:v>8</x:v>
      </x:c>
      <x:c r="G15" s="16" t="n">
        <x:f>COUNTIFS('Attempts'!$B$7:$B$102,$B15)</x:f>
        <x:v>1</x:v>
      </x:c>
      <x:c r="H15" s="16" t="n">
        <x:f>COUNTIFS('Attempts'!$B$7:$B$102,$B15,'Attempts'!$D$7:$D$102,"succeeded")</x:f>
        <x:v>1</x:v>
      </x:c>
      <x:c r="I15" s="16" t="n">
        <x:f>COUNTIFS('Attempts'!$B$7:$B$102,$B15,'Attempts'!$D$7:$D$102,"failed")</x:f>
        <x:v>0</x:v>
      </x:c>
      <x:c r="J15" s="16" t="n">
        <x:f>COUNTIFS('Attempts'!$B$7:$B$102,$B15,'Attempts'!$D$7:$D$102,"rejected")</x:f>
        <x:v>0</x:v>
      </x:c>
      <x:c r="K15" s="16" t="n">
        <x:v>1</x:v>
      </x:c>
      <x:c r="L15" s="2" t="str">
        <x:v>take_01</x:v>
      </x:c>
      <x:c r="M15" s="2" t="str">
        <x:v>take_01</x:v>
      </x:c>
      <x:c r="N15" s="2" t="str">
        <x:v>take_01</x:v>
      </x:c>
      <x:c r="O15" s="16" t="n">
        <x:f>SUMIFS('Attempts'!$L$7:$L$102,'Attempts'!$B$7:$B$102,$B15)</x:f>
        <x:v>8</x:v>
      </x:c>
      <x:c r="P15" s="16" t="n">
        <x:f>SUMIFS('Attempts'!$I$7:$I$102,'Attempts'!$B$7:$B$102,$B15)</x:f>
        <x:v>8</x:v>
      </x:c>
      <x:c r="Q15" s="16" t="n">
        <x:f>SUMIFS('Attempts'!$K$7:$K$102,'Attempts'!$B$7:$B$102,$B15)</x:f>
        <x:v>77260</x:v>
      </x:c>
      <x:c r="R15" s="18" t="n">
        <x:f>SUMIFS('Attempts'!$O$7:$O$102,'Attempts'!$B$7:$B$102,$B15)</x:f>
        <x:v>0.826682</x:v>
      </x:c>
      <x:c r="S15" s="20" t="n">
        <x:f>SUMIFS('Attempts'!$P$7:$P$102,'Attempts'!$B$7:$B$102,$B15)</x:f>
        <x:v>6.486973654000001</x:v>
      </x:c>
      <x:c r="T15" s="2" t="str">
        <x:v>dreamina-seedance-2-5-260628</x:v>
      </x:c>
      <x:c r="U15" s="2" t="str">
        <x:v>480p (854x480)</x:v>
      </x:c>
      <x:c r="V15" s="2" t="str">
        <x:v>16:9</x:v>
      </x:c>
      <x:c r="W15" s="2" t="str"/>
    </x:row>
    <x:row r="16" ht="32" customHeight="1">
      <x:c r="A16" s="9" t="n">
        <x:v>10</x:v>
      </x:c>
      <x:c r="B16" s="9" t="str">
        <x:v>s03_c01</x:v>
      </x:c>
      <x:c r="C16" s="9" t="n">
        <x:v>3</x:v>
      </x:c>
      <x:c r="D16" s="23" t="str">
        <x:v>Touch-led morning routine, harness excitement and work cue</x:v>
      </x:c>
      <x:c r="E16" s="17" t="n">
        <x:v>145</x:v>
      </x:c>
      <x:c r="F16" s="17" t="n">
        <x:v>20</x:v>
      </x:c>
      <x:c r="G16" s="17" t="n">
        <x:f>COUNTIFS('Attempts'!$B$7:$B$102,$B16)</x:f>
        <x:v>2</x:v>
      </x:c>
      <x:c r="H16" s="17" t="n">
        <x:f>COUNTIFS('Attempts'!$B$7:$B$102,$B16,'Attempts'!$D$7:$D$102,"succeeded")</x:f>
        <x:v>2</x:v>
      </x:c>
      <x:c r="I16" s="17" t="n">
        <x:f>COUNTIFS('Attempts'!$B$7:$B$102,$B16,'Attempts'!$D$7:$D$102,"failed")</x:f>
        <x:v>0</x:v>
      </x:c>
      <x:c r="J16" s="17" t="n">
        <x:f>COUNTIFS('Attempts'!$B$7:$B$102,$B16,'Attempts'!$D$7:$D$102,"rejected")</x:f>
        <x:v>0</x:v>
      </x:c>
      <x:c r="K16" s="17" t="n">
        <x:v>1</x:v>
      </x:c>
      <x:c r="L16" s="9" t="str">
        <x:v>take_01</x:v>
      </x:c>
      <x:c r="M16" s="9" t="str">
        <x:v>take_02</x:v>
      </x:c>
      <x:c r="N16" s="9" t="str">
        <x:v>take_02</x:v>
      </x:c>
      <x:c r="O16" s="17" t="n">
        <x:f>SUMIFS('Attempts'!$L$7:$L$102,'Attempts'!$B$7:$B$102,$B16)</x:f>
        <x:v>40</x:v>
      </x:c>
      <x:c r="P16" s="17" t="n">
        <x:f>SUMIFS('Attempts'!$I$7:$I$102,'Attempts'!$B$7:$B$102,$B16)</x:f>
        <x:v>40</x:v>
      </x:c>
      <x:c r="Q16" s="17" t="n">
        <x:f>SUMIFS('Attempts'!$K$7:$K$102,'Attempts'!$B$7:$B$102,$B16)</x:f>
        <x:v>385100</x:v>
      </x:c>
      <x:c r="R16" s="19" t="n">
        <x:f>SUMIFS('Attempts'!$O$7:$O$102,'Attempts'!$B$7:$B$102,$B16)</x:f>
        <x:v>4.12057</x:v>
      </x:c>
      <x:c r="S16" s="21" t="n">
        <x:f>SUMIFS('Attempts'!$P$7:$P$102,'Attempts'!$B$7:$B$102,$B16)</x:f>
        <x:v>32.33411279</x:v>
      </x:c>
      <x:c r="T16" s="9" t="str">
        <x:v>dreamina-seedance-2-5-260628</x:v>
      </x:c>
      <x:c r="U16" s="9" t="str">
        <x:v>480p (854x480)</x:v>
      </x:c>
      <x:c r="V16" s="9" t="str">
        <x:v>16:9</x:v>
      </x:c>
      <x:c r="W16" s="9" t="str">
        <x:v>Cantonese dialogue alignment revised.</x:v>
      </x:c>
    </x:row>
    <x:row r="17" ht="32" customHeight="1">
      <x:c r="A17" s="2" t="n">
        <x:v>11</x:v>
      </x:c>
      <x:c r="B17" s="2" t="str">
        <x:v>s03_c02</x:v>
      </x:c>
      <x:c r="C17" s="2" t="n">
        <x:v>3</x:v>
      </x:c>
      <x:c r="D17" s="22" t="str">
        <x:v>Neighbour trolley clears the lift</x:v>
      </x:c>
      <x:c r="E17" s="16" t="n">
        <x:v>165</x:v>
      </x:c>
      <x:c r="F17" s="16" t="n">
        <x:v>14</x:v>
      </x:c>
      <x:c r="G17" s="16" t="n">
        <x:f>COUNTIFS('Attempts'!$B$7:$B$102,$B17)</x:f>
        <x:v>2</x:v>
      </x:c>
      <x:c r="H17" s="16" t="n">
        <x:f>COUNTIFS('Attempts'!$B$7:$B$102,$B17,'Attempts'!$D$7:$D$102,"succeeded")</x:f>
        <x:v>2</x:v>
      </x:c>
      <x:c r="I17" s="16" t="n">
        <x:f>COUNTIFS('Attempts'!$B$7:$B$102,$B17,'Attempts'!$D$7:$D$102,"failed")</x:f>
        <x:v>0</x:v>
      </x:c>
      <x:c r="J17" s="16" t="n">
        <x:f>COUNTIFS('Attempts'!$B$7:$B$102,$B17,'Attempts'!$D$7:$D$102,"rejected")</x:f>
        <x:v>0</x:v>
      </x:c>
      <x:c r="K17" s="16" t="n">
        <x:v>1</x:v>
      </x:c>
      <x:c r="L17" s="2" t="str">
        <x:v>take_01</x:v>
      </x:c>
      <x:c r="M17" s="2" t="str">
        <x:v>take_02</x:v>
      </x:c>
      <x:c r="N17" s="2" t="str">
        <x:v>take_02</x:v>
      </x:c>
      <x:c r="O17" s="16" t="n">
        <x:f>SUMIFS('Attempts'!$L$7:$L$102,'Attempts'!$B$7:$B$102,$B17)</x:f>
        <x:v>28</x:v>
      </x:c>
      <x:c r="P17" s="16" t="n">
        <x:f>SUMIFS('Attempts'!$I$7:$I$102,'Attempts'!$B$7:$B$102,$B17)</x:f>
        <x:v>28</x:v>
      </x:c>
      <x:c r="Q17" s="16" t="n">
        <x:f>SUMIFS('Attempts'!$K$7:$K$102,'Attempts'!$B$7:$B$102,$B17)</x:f>
        <x:v>269810</x:v>
      </x:c>
      <x:c r="R17" s="18" t="n">
        <x:f>SUMIFS('Attempts'!$O$7:$O$102,'Attempts'!$B$7:$B$102,$B17)</x:f>
        <x:v>2.886967</x:v>
      </x:c>
      <x:c r="S17" s="20" t="n">
        <x:f>SUMIFS('Attempts'!$P$7:$P$102,'Attempts'!$B$7:$B$102,$B17)</x:f>
        <x:v>22.654030049</x:v>
      </x:c>
      <x:c r="T17" s="2" t="str">
        <x:v>dreamina-seedance-2-5-260628</x:v>
      </x:c>
      <x:c r="U17" s="2" t="str">
        <x:v>480p (854x480)</x:v>
      </x:c>
      <x:c r="V17" s="2" t="str">
        <x:v>16:9</x:v>
      </x:c>
      <x:c r="W17" s="2" t="str">
        <x:v>Cantonese dialogue alignment revised.</x:v>
      </x:c>
    </x:row>
    <x:row r="18" ht="32" customHeight="1">
      <x:c r="A18" s="9" t="n">
        <x:v>12</x:v>
      </x:c>
      <x:c r="B18" s="9" t="str">
        <x:v>s03_c03</x:v>
      </x:c>
      <x:c r="C18" s="9" t="n">
        <x:v>3</x:v>
      </x:c>
      <x:c r="D18" s="23" t="str">
        <x:v>Stationary tram recording interrupted by delivery trolley</x:v>
      </x:c>
      <x:c r="E18" s="17" t="n">
        <x:v>179</x:v>
      </x:c>
      <x:c r="F18" s="17" t="n">
        <x:v>18</x:v>
      </x:c>
      <x:c r="G18" s="17" t="n">
        <x:f>COUNTIFS('Attempts'!$B$7:$B$102,$B18)</x:f>
        <x:v>2</x:v>
      </x:c>
      <x:c r="H18" s="17" t="n">
        <x:f>COUNTIFS('Attempts'!$B$7:$B$102,$B18,'Attempts'!$D$7:$D$102,"succeeded")</x:f>
        <x:v>2</x:v>
      </x:c>
      <x:c r="I18" s="17" t="n">
        <x:f>COUNTIFS('Attempts'!$B$7:$B$102,$B18,'Attempts'!$D$7:$D$102,"failed")</x:f>
        <x:v>0</x:v>
      </x:c>
      <x:c r="J18" s="17" t="n">
        <x:f>COUNTIFS('Attempts'!$B$7:$B$102,$B18,'Attempts'!$D$7:$D$102,"rejected")</x:f>
        <x:v>0</x:v>
      </x:c>
      <x:c r="K18" s="17" t="n">
        <x:v>1</x:v>
      </x:c>
      <x:c r="L18" s="9" t="str">
        <x:v>take_01</x:v>
      </x:c>
      <x:c r="M18" s="9" t="str">
        <x:v>take_02</x:v>
      </x:c>
      <x:c r="N18" s="9" t="str">
        <x:v>take_02</x:v>
      </x:c>
      <x:c r="O18" s="17" t="n">
        <x:f>SUMIFS('Attempts'!$L$7:$L$102,'Attempts'!$B$7:$B$102,$B18)</x:f>
        <x:v>36</x:v>
      </x:c>
      <x:c r="P18" s="17" t="n">
        <x:f>SUMIFS('Attempts'!$I$7:$I$102,'Attempts'!$B$7:$B$102,$B18)</x:f>
        <x:v>36</x:v>
      </x:c>
      <x:c r="Q18" s="17" t="n">
        <x:f>SUMIFS('Attempts'!$K$7:$K$102,'Attempts'!$B$7:$B$102,$B18)</x:f>
        <x:v>346670</x:v>
      </x:c>
      <x:c r="R18" s="19" t="n">
        <x:f>SUMIFS('Attempts'!$O$7:$O$102,'Attempts'!$B$7:$B$102,$B18)</x:f>
        <x:v>3.7093689999999997</x:v>
      </x:c>
      <x:c r="S18" s="21" t="n">
        <x:f>SUMIFS('Attempts'!$P$7:$P$102,'Attempts'!$B$7:$B$102,$B18)</x:f>
        <x:v>29.107418542999998</x:v>
      </x:c>
      <x:c r="T18" s="9" t="str">
        <x:v>dreamina-seedance-2-5-260628</x:v>
      </x:c>
      <x:c r="U18" s="9" t="str">
        <x:v>480p (854x480)</x:v>
      </x:c>
      <x:c r="V18" s="9" t="str">
        <x:v>16:9</x:v>
      </x:c>
      <x:c r="W18" s="9" t="str">
        <x:v>Guide-handle continuity revised.</x:v>
      </x:c>
    </x:row>
    <x:row r="19" ht="32" customHeight="1">
      <x:c r="A19" s="2" t="n">
        <x:v>13</x:v>
      </x:c>
      <x:c r="B19" s="2" t="str">
        <x:v>s03_c04</x:v>
      </x:c>
      <x:c r="C19" s="2" t="n">
        <x:v>3</x:v>
      </x:c>
      <x:c r="D19" s="22" t="str">
        <x:v>Stationary reply and breakfast anticipation</x:v>
      </x:c>
      <x:c r="E19" s="16" t="n">
        <x:v>197</x:v>
      </x:c>
      <x:c r="F19" s="16" t="n">
        <x:v>18</x:v>
      </x:c>
      <x:c r="G19" s="16" t="n">
        <x:f>COUNTIFS('Attempts'!$B$7:$B$102,$B19)</x:f>
        <x:v>2</x:v>
      </x:c>
      <x:c r="H19" s="16" t="n">
        <x:f>COUNTIFS('Attempts'!$B$7:$B$102,$B19,'Attempts'!$D$7:$D$102,"succeeded")</x:f>
        <x:v>2</x:v>
      </x:c>
      <x:c r="I19" s="16" t="n">
        <x:f>COUNTIFS('Attempts'!$B$7:$B$102,$B19,'Attempts'!$D$7:$D$102,"failed")</x:f>
        <x:v>0</x:v>
      </x:c>
      <x:c r="J19" s="16" t="n">
        <x:f>COUNTIFS('Attempts'!$B$7:$B$102,$B19,'Attempts'!$D$7:$D$102,"rejected")</x:f>
        <x:v>0</x:v>
      </x:c>
      <x:c r="K19" s="16" t="n">
        <x:v>1</x:v>
      </x:c>
      <x:c r="L19" s="2" t="str">
        <x:v>take_01</x:v>
      </x:c>
      <x:c r="M19" s="2" t="str">
        <x:v>take_02</x:v>
      </x:c>
      <x:c r="N19" s="2" t="str">
        <x:v>take_02</x:v>
      </x:c>
      <x:c r="O19" s="16" t="n">
        <x:f>SUMIFS('Attempts'!$L$7:$L$102,'Attempts'!$B$7:$B$102,$B19)</x:f>
        <x:v>36</x:v>
      </x:c>
      <x:c r="P19" s="16" t="n">
        <x:f>SUMIFS('Attempts'!$I$7:$I$102,'Attempts'!$B$7:$B$102,$B19)</x:f>
        <x:v>36</x:v>
      </x:c>
      <x:c r="Q19" s="16" t="n">
        <x:f>SUMIFS('Attempts'!$K$7:$K$102,'Attempts'!$B$7:$B$102,$B19)</x:f>
        <x:v>346670</x:v>
      </x:c>
      <x:c r="R19" s="18" t="n">
        <x:f>SUMIFS('Attempts'!$O$7:$O$102,'Attempts'!$B$7:$B$102,$B19)</x:f>
        <x:v>3.7093689999999997</x:v>
      </x:c>
      <x:c r="S19" s="20" t="n">
        <x:f>SUMIFS('Attempts'!$P$7:$P$102,'Attempts'!$B$7:$B$102,$B19)</x:f>
        <x:v>29.107418542999998</x:v>
      </x:c>
      <x:c r="T19" s="2" t="str">
        <x:v>dreamina-seedance-2-5-260628</x:v>
      </x:c>
      <x:c r="U19" s="2" t="str">
        <x:v>480p (854x480)</x:v>
      </x:c>
      <x:c r="V19" s="2" t="str">
        <x:v>16:9</x:v>
      </x:c>
      <x:c r="W19" s="2" t="str">
        <x:v>Guide-handle continuity revised.</x:v>
      </x:c>
    </x:row>
    <x:row r="20" ht="32" customHeight="1">
      <x:c r="A20" s="9" t="n">
        <x:v>14</x:v>
      </x:c>
      <x:c r="B20" s="9" t="str">
        <x:v>s04_c01</x:v>
      </x:c>
      <x:c r="C20" s="9" t="n">
        <x:v>4</x:v>
      </x:c>
      <x:c r="D20" s="23" t="str">
        <x:v>Match footsteps across two jobs; both complete a task</x:v>
      </x:c>
      <x:c r="E20" s="17" t="n">
        <x:v>215</x:v>
      </x:c>
      <x:c r="F20" s="17" t="n">
        <x:v>18</x:v>
      </x:c>
      <x:c r="G20" s="17" t="n">
        <x:f>COUNTIFS('Attempts'!$B$7:$B$102,$B20)</x:f>
        <x:v>2</x:v>
      </x:c>
      <x:c r="H20" s="17" t="n">
        <x:f>COUNTIFS('Attempts'!$B$7:$B$102,$B20,'Attempts'!$D$7:$D$102,"succeeded")</x:f>
        <x:v>2</x:v>
      </x:c>
      <x:c r="I20" s="17" t="n">
        <x:f>COUNTIFS('Attempts'!$B$7:$B$102,$B20,'Attempts'!$D$7:$D$102,"failed")</x:f>
        <x:v>0</x:v>
      </x:c>
      <x:c r="J20" s="17" t="n">
        <x:f>COUNTIFS('Attempts'!$B$7:$B$102,$B20,'Attempts'!$D$7:$D$102,"rejected")</x:f>
        <x:v>0</x:v>
      </x:c>
      <x:c r="K20" s="17" t="n">
        <x:v>1</x:v>
      </x:c>
      <x:c r="L20" s="9" t="str">
        <x:v>take_01</x:v>
      </x:c>
      <x:c r="M20" s="9" t="str">
        <x:v>take_02</x:v>
      </x:c>
      <x:c r="N20" s="9" t="str">
        <x:v>take_02</x:v>
      </x:c>
      <x:c r="O20" s="17" t="n">
        <x:f>SUMIFS('Attempts'!$L$7:$L$102,'Attempts'!$B$7:$B$102,$B20)</x:f>
        <x:v>36</x:v>
      </x:c>
      <x:c r="P20" s="17" t="n">
        <x:f>SUMIFS('Attempts'!$I$7:$I$102,'Attempts'!$B$7:$B$102,$B20)</x:f>
        <x:v>36</x:v>
      </x:c>
      <x:c r="Q20" s="17" t="n">
        <x:f>SUMIFS('Attempts'!$K$7:$K$102,'Attempts'!$B$7:$B$102,$B20)</x:f>
        <x:v>346670</x:v>
      </x:c>
      <x:c r="R20" s="19" t="n">
        <x:f>SUMIFS('Attempts'!$O$7:$O$102,'Attempts'!$B$7:$B$102,$B20)</x:f>
        <x:v>3.7093689999999997</x:v>
      </x:c>
      <x:c r="S20" s="21" t="n">
        <x:f>SUMIFS('Attempts'!$P$7:$P$102,'Attempts'!$B$7:$B$102,$B20)</x:f>
        <x:v>29.107418542999998</x:v>
      </x:c>
      <x:c r="T20" s="9" t="str">
        <x:v>dreamina-seedance-2-5-260628</x:v>
      </x:c>
      <x:c r="U20" s="9" t="str">
        <x:v>480p (854x480)</x:v>
      </x:c>
      <x:c r="V20" s="9" t="str">
        <x:v>16:9</x:v>
      </x:c>
      <x:c r="W20" s="9" t="str">
        <x:v>Guide control and visiting-dog floor staging revised.</x:v>
      </x:c>
    </x:row>
    <x:row r="21" ht="32" customHeight="1">
      <x:c r="A21" s="2" t="n">
        <x:v>15</x:v>
      </x:c>
      <x:c r="B21" s="2" t="str">
        <x:v>s04_c02</x:v>
      </x:c>
      <x:c r="C21" s="2" t="n">
        <x:v>4</x:v>
      </x:c>
      <x:c r="D21" s="22" t="str">
        <x:v>Suitcase clearance matched to Lok's peekaboo</x:v>
      </x:c>
      <x:c r="E21" s="16" t="n">
        <x:v>233</x:v>
      </x:c>
      <x:c r="F21" s="16" t="n">
        <x:v>16</x:v>
      </x:c>
      <x:c r="G21" s="16" t="n">
        <x:f>COUNTIFS('Attempts'!$B$7:$B$102,$B21)</x:f>
        <x:v>2</x:v>
      </x:c>
      <x:c r="H21" s="16" t="n">
        <x:f>COUNTIFS('Attempts'!$B$7:$B$102,$B21,'Attempts'!$D$7:$D$102,"succeeded")</x:f>
        <x:v>2</x:v>
      </x:c>
      <x:c r="I21" s="16" t="n">
        <x:f>COUNTIFS('Attempts'!$B$7:$B$102,$B21,'Attempts'!$D$7:$D$102,"failed")</x:f>
        <x:v>0</x:v>
      </x:c>
      <x:c r="J21" s="16" t="n">
        <x:f>COUNTIFS('Attempts'!$B$7:$B$102,$B21,'Attempts'!$D$7:$D$102,"rejected")</x:f>
        <x:v>0</x:v>
      </x:c>
      <x:c r="K21" s="16" t="n">
        <x:v>1</x:v>
      </x:c>
      <x:c r="L21" s="2" t="str">
        <x:v>take_01</x:v>
      </x:c>
      <x:c r="M21" s="2" t="str">
        <x:v>take_02</x:v>
      </x:c>
      <x:c r="N21" s="2" t="str">
        <x:v>take_02</x:v>
      </x:c>
      <x:c r="O21" s="16" t="n">
        <x:f>SUMIFS('Attempts'!$L$7:$L$102,'Attempts'!$B$7:$B$102,$B21)</x:f>
        <x:v>32</x:v>
      </x:c>
      <x:c r="P21" s="16" t="n">
        <x:f>SUMIFS('Attempts'!$I$7:$I$102,'Attempts'!$B$7:$B$102,$B21)</x:f>
        <x:v>32</x:v>
      </x:c>
      <x:c r="Q21" s="16" t="n">
        <x:f>SUMIFS('Attempts'!$K$7:$K$102,'Attempts'!$B$7:$B$102,$B21)</x:f>
        <x:v>308240</x:v>
      </x:c>
      <x:c r="R21" s="18" t="n">
        <x:f>SUMIFS('Attempts'!$O$7:$O$102,'Attempts'!$B$7:$B$102,$B21)</x:f>
        <x:v>3.298168</x:v>
      </x:c>
      <x:c r="S21" s="20" t="n">
        <x:f>SUMIFS('Attempts'!$P$7:$P$102,'Attempts'!$B$7:$B$102,$B21)</x:f>
        <x:v>25.880724296</x:v>
      </x:c>
      <x:c r="T21" s="2" t="str">
        <x:v>dreamina-seedance-2-5-260628</x:v>
      </x:c>
      <x:c r="U21" s="2" t="str">
        <x:v>480p (854x480)</x:v>
      </x:c>
      <x:c r="V21" s="2" t="str">
        <x:v>16:9</x:v>
      </x:c>
      <x:c r="W21" s="2" t="str">
        <x:v>Guide control and visiting-dog floor staging revised.</x:v>
      </x:c>
    </x:row>
    <x:row r="22" ht="32" customHeight="1">
      <x:c r="A22" s="9" t="n">
        <x:v>16</x:v>
      </x:c>
      <x:c r="B22" s="9" t="str">
        <x:v>s04_c03</x:v>
      </x:c>
      <x:c r="C22" s="9" t="n">
        <x:v>4</x:v>
      </x:c>
      <x:c r="D22" s="23" t="str">
        <x:v>Toast and crumb temptation, restraint and untidy leg</x:v>
      </x:c>
      <x:c r="E22" s="17" t="n">
        <x:v>249</x:v>
      </x:c>
      <x:c r="F22" s="17" t="n">
        <x:v>14</x:v>
      </x:c>
      <x:c r="G22" s="17" t="n">
        <x:f>COUNTIFS('Attempts'!$B$7:$B$102,$B22)</x:f>
        <x:v>1</x:v>
      </x:c>
      <x:c r="H22" s="17" t="n">
        <x:f>COUNTIFS('Attempts'!$B$7:$B$102,$B22,'Attempts'!$D$7:$D$102,"succeeded")</x:f>
        <x:v>1</x:v>
      </x:c>
      <x:c r="I22" s="17" t="n">
        <x:f>COUNTIFS('Attempts'!$B$7:$B$102,$B22,'Attempts'!$D$7:$D$102,"failed")</x:f>
        <x:v>0</x:v>
      </x:c>
      <x:c r="J22" s="17" t="n">
        <x:f>COUNTIFS('Attempts'!$B$7:$B$102,$B22,'Attempts'!$D$7:$D$102,"rejected")</x:f>
        <x:v>0</x:v>
      </x:c>
      <x:c r="K22" s="17" t="n">
        <x:v>1</x:v>
      </x:c>
      <x:c r="L22" s="9" t="str">
        <x:v>take_01</x:v>
      </x:c>
      <x:c r="M22" s="9" t="str">
        <x:v>take_01</x:v>
      </x:c>
      <x:c r="N22" s="9" t="str">
        <x:v>take_01</x:v>
      </x:c>
      <x:c r="O22" s="17" t="n">
        <x:f>SUMIFS('Attempts'!$L$7:$L$102,'Attempts'!$B$7:$B$102,$B22)</x:f>
        <x:v>14</x:v>
      </x:c>
      <x:c r="P22" s="17" t="n">
        <x:f>SUMIFS('Attempts'!$I$7:$I$102,'Attempts'!$B$7:$B$102,$B22)</x:f>
        <x:v>14</x:v>
      </x:c>
      <x:c r="Q22" s="17" t="n">
        <x:f>SUMIFS('Attempts'!$K$7:$K$102,'Attempts'!$B$7:$B$102,$B22)</x:f>
        <x:v>134905</x:v>
      </x:c>
      <x:c r="R22" s="19" t="n">
        <x:f>SUMIFS('Attempts'!$O$7:$O$102,'Attempts'!$B$7:$B$102,$B22)</x:f>
        <x:v>1.4434835</x:v>
      </x:c>
      <x:c r="S22" s="21" t="n">
        <x:f>SUMIFS('Attempts'!$P$7:$P$102,'Attempts'!$B$7:$B$102,$B22)</x:f>
        <x:v>11.3270150245</x:v>
      </x:c>
      <x:c r="T22" s="9" t="str">
        <x:v>dreamina-seedance-2-5-260628</x:v>
      </x:c>
      <x:c r="U22" s="9" t="str">
        <x:v>480p (854x480)</x:v>
      </x:c>
      <x:c r="V22" s="9" t="str">
        <x:v>16:9</x:v>
      </x:c>
      <x:c r="W22" s="9" t="str"/>
    </x:row>
    <x:row r="23" ht="32" customHeight="1">
      <x:c r="A23" s="2" t="n">
        <x:v>17</x:v>
      </x:c>
      <x:c r="B23" s="2" t="str">
        <x:v>s04_c04</x:v>
      </x:c>
      <x:c r="C23" s="2" t="n">
        <x:v>4</x:v>
      </x:c>
      <x:c r="D23" s="22" t="str">
        <x:v>Cafe name mix-up, payment and clear departure</x:v>
      </x:c>
      <x:c r="E23" s="16" t="n">
        <x:v>263</x:v>
      </x:c>
      <x:c r="F23" s="16" t="n">
        <x:v>19</x:v>
      </x:c>
      <x:c r="G23" s="16" t="n">
        <x:f>COUNTIFS('Attempts'!$B$7:$B$102,$B23)</x:f>
        <x:v>2</x:v>
      </x:c>
      <x:c r="H23" s="16" t="n">
        <x:f>COUNTIFS('Attempts'!$B$7:$B$102,$B23,'Attempts'!$D$7:$D$102,"succeeded")</x:f>
        <x:v>2</x:v>
      </x:c>
      <x:c r="I23" s="16" t="n">
        <x:f>COUNTIFS('Attempts'!$B$7:$B$102,$B23,'Attempts'!$D$7:$D$102,"failed")</x:f>
        <x:v>0</x:v>
      </x:c>
      <x:c r="J23" s="16" t="n">
        <x:f>COUNTIFS('Attempts'!$B$7:$B$102,$B23,'Attempts'!$D$7:$D$102,"rejected")</x:f>
        <x:v>0</x:v>
      </x:c>
      <x:c r="K23" s="16" t="n">
        <x:v>1</x:v>
      </x:c>
      <x:c r="L23" s="2" t="str">
        <x:v>take_01</x:v>
      </x:c>
      <x:c r="M23" s="2" t="str">
        <x:v>take_02</x:v>
      </x:c>
      <x:c r="N23" s="2" t="str">
        <x:v>take_02</x:v>
      </x:c>
      <x:c r="O23" s="16" t="n">
        <x:f>SUMIFS('Attempts'!$L$7:$L$102,'Attempts'!$B$7:$B$102,$B23)</x:f>
        <x:v>38</x:v>
      </x:c>
      <x:c r="P23" s="16" t="n">
        <x:f>SUMIFS('Attempts'!$I$7:$I$102,'Attempts'!$B$7:$B$102,$B23)</x:f>
        <x:v>38</x:v>
      </x:c>
      <x:c r="Q23" s="16" t="n">
        <x:f>SUMIFS('Attempts'!$K$7:$K$102,'Attempts'!$B$7:$B$102,$B23)</x:f>
        <x:v>365884</x:v>
      </x:c>
      <x:c r="R23" s="18" t="n">
        <x:f>SUMIFS('Attempts'!$O$7:$O$102,'Attempts'!$B$7:$B$102,$B23)</x:f>
        <x:v>3.9149588</x:v>
      </x:c>
      <x:c r="S23" s="20" t="n">
        <x:f>SUMIFS('Attempts'!$P$7:$P$102,'Attempts'!$B$7:$B$102,$B23)</x:f>
        <x:v>30.7206817036</x:v>
      </x:c>
      <x:c r="T23" s="2" t="str">
        <x:v>dreamina-seedance-2-5-260628</x:v>
      </x:c>
      <x:c r="U23" s="2" t="str">
        <x:v>480p (854x480)</x:v>
      </x:c>
      <x:c r="V23" s="2" t="str">
        <x:v>16:9</x:v>
      </x:c>
      <x:c r="W23" s="2" t="str">
        <x:v>Cafe departure staging and Cantonese dialogue revised.</x:v>
      </x:c>
    </x:row>
    <x:row r="24" ht="32" customHeight="1">
      <x:c r="A24" s="9" t="n">
        <x:v>18</x:v>
      </x:c>
      <x:c r="B24" s="9" t="str">
        <x:v>s04_c05</x:v>
      </x:c>
      <x:c r="C24" s="9" t="n">
        <x:v>4</x:v>
      </x:c>
      <x:c r="D24" s="23" t="str">
        <x:v>Minutes-later takeaway and first missed encounter</x:v>
      </x:c>
      <x:c r="E24" s="17" t="n">
        <x:v>282</x:v>
      </x:c>
      <x:c r="F24" s="17" t="n">
        <x:v>15</x:v>
      </x:c>
      <x:c r="G24" s="17" t="n">
        <x:f>COUNTIFS('Attempts'!$B$7:$B$102,$B24)</x:f>
        <x:v>1</x:v>
      </x:c>
      <x:c r="H24" s="17" t="n">
        <x:f>COUNTIFS('Attempts'!$B$7:$B$102,$B24,'Attempts'!$D$7:$D$102,"succeeded")</x:f>
        <x:v>1</x:v>
      </x:c>
      <x:c r="I24" s="17" t="n">
        <x:f>COUNTIFS('Attempts'!$B$7:$B$102,$B24,'Attempts'!$D$7:$D$102,"failed")</x:f>
        <x:v>0</x:v>
      </x:c>
      <x:c r="J24" s="17" t="n">
        <x:f>COUNTIFS('Attempts'!$B$7:$B$102,$B24,'Attempts'!$D$7:$D$102,"rejected")</x:f>
        <x:v>0</x:v>
      </x:c>
      <x:c r="K24" s="17" t="n">
        <x:v>1</x:v>
      </x:c>
      <x:c r="L24" s="9" t="str">
        <x:v>take_01</x:v>
      </x:c>
      <x:c r="M24" s="9" t="str">
        <x:v>take_01</x:v>
      </x:c>
      <x:c r="N24" s="9" t="str">
        <x:v>take_01</x:v>
      </x:c>
      <x:c r="O24" s="17" t="n">
        <x:f>SUMIFS('Attempts'!$L$7:$L$102,'Attempts'!$B$7:$B$102,$B24)</x:f>
        <x:v>15</x:v>
      </x:c>
      <x:c r="P24" s="17" t="n">
        <x:f>SUMIFS('Attempts'!$I$7:$I$102,'Attempts'!$B$7:$B$102,$B24)</x:f>
        <x:v>15</x:v>
      </x:c>
      <x:c r="Q24" s="17" t="n">
        <x:f>SUMIFS('Attempts'!$K$7:$K$102,'Attempts'!$B$7:$B$102,$B24)</x:f>
        <x:v>144512</x:v>
      </x:c>
      <x:c r="R24" s="19" t="n">
        <x:f>SUMIFS('Attempts'!$O$7:$O$102,'Attempts'!$B$7:$B$102,$B24)</x:f>
        <x:v>1.5462783999999998</x:v>
      </x:c>
      <x:c r="S24" s="21" t="n">
        <x:f>SUMIFS('Attempts'!$P$7:$P$102,'Attempts'!$B$7:$B$102,$B24)</x:f>
        <x:v>12.1336466048</x:v>
      </x:c>
      <x:c r="T24" s="9" t="str">
        <x:v>dreamina-seedance-2-5-260628</x:v>
      </x:c>
      <x:c r="U24" s="9" t="str">
        <x:v>480p (854x480)</x:v>
      </x:c>
      <x:c r="V24" s="9" t="str">
        <x:v>16:9</x:v>
      </x:c>
      <x:c r="W24" s="9" t="str"/>
    </x:row>
    <x:row r="25" ht="32" customHeight="1">
      <x:c r="A25" s="2" t="n">
        <x:v>19</x:v>
      </x:c>
      <x:c r="B25" s="2" t="str">
        <x:v>s04_c06</x:v>
      </x:c>
      <x:c r="C25" s="2" t="n">
        <x:v>4</x:v>
      </x:c>
      <x:c r="D25" s="22" t="str">
        <x:v>Route opens; invited touch; newspaper foreshadowing</x:v>
      </x:c>
      <x:c r="E25" s="16" t="n">
        <x:v>297</x:v>
      </x:c>
      <x:c r="F25" s="16" t="n">
        <x:v>8</x:v>
      </x:c>
      <x:c r="G25" s="16" t="n">
        <x:f>COUNTIFS('Attempts'!$B$7:$B$102,$B25)</x:f>
        <x:v>3</x:v>
      </x:c>
      <x:c r="H25" s="16" t="n">
        <x:f>COUNTIFS('Attempts'!$B$7:$B$102,$B25,'Attempts'!$D$7:$D$102,"succeeded")</x:f>
        <x:v>2</x:v>
      </x:c>
      <x:c r="I25" s="16" t="n">
        <x:f>COUNTIFS('Attempts'!$B$7:$B$102,$B25,'Attempts'!$D$7:$D$102,"failed")</x:f>
        <x:v>0</x:v>
      </x:c>
      <x:c r="J25" s="16" t="n">
        <x:f>COUNTIFS('Attempts'!$B$7:$B$102,$B25,'Attempts'!$D$7:$D$102,"rejected")</x:f>
        <x:v>1</x:v>
      </x:c>
      <x:c r="K25" s="16" t="n">
        <x:v>2</x:v>
      </x:c>
      <x:c r="L25" s="2" t="str">
        <x:v>take_02</x:v>
      </x:c>
      <x:c r="M25" s="2" t="str">
        <x:v>take_03</x:v>
      </x:c>
      <x:c r="N25" s="2" t="str">
        <x:v>take_03</x:v>
      </x:c>
      <x:c r="O25" s="16" t="n">
        <x:f>SUMIFS('Attempts'!$L$7:$L$102,'Attempts'!$B$7:$B$102,$B25)</x:f>
        <x:v>16</x:v>
      </x:c>
      <x:c r="P25" s="16" t="n">
        <x:f>SUMIFS('Attempts'!$I$7:$I$102,'Attempts'!$B$7:$B$102,$B25)</x:f>
        <x:v>24</x:v>
      </x:c>
      <x:c r="Q25" s="16" t="n">
        <x:f>SUMIFS('Attempts'!$K$7:$K$102,'Attempts'!$B$7:$B$102,$B25)</x:f>
        <x:v>154520</x:v>
      </x:c>
      <x:c r="R25" s="18" t="n">
        <x:f>SUMIFS('Attempts'!$O$7:$O$102,'Attempts'!$B$7:$B$102,$B25)</x:f>
        <x:v>1.653364</x:v>
      </x:c>
      <x:c r="S25" s="20" t="n">
        <x:f>SUMIFS('Attempts'!$P$7:$P$102,'Attempts'!$B$7:$B$102,$B25)</x:f>
        <x:v>12.973947308000001</x:v>
      </x:c>
      <x:c r="T25" s="2" t="str">
        <x:v>dreamina-seedance-2-5-260628</x:v>
      </x:c>
      <x:c r="U25" s="2" t="str">
        <x:v>480p (854x480)</x:v>
      </x:c>
      <x:c r="V25" s="2" t="str">
        <x:v>16:9</x:v>
      </x:c>
      <x:c r="W25" s="2" t="str">
        <x:v>Input privacy rejection, then guide-control revision.</x:v>
      </x:c>
    </x:row>
    <x:row r="26" ht="32" customHeight="1">
      <x:c r="A26" s="9" t="n">
        <x:v>20</x:v>
      </x:c>
      <x:c r="B26" s="9" t="str">
        <x:v>s05_c01</x:v>
      </x:c>
      <x:c r="C26" s="9" t="n">
        <x:v>5</x:v>
      </x:c>
      <x:c r="D26" s="23" t="str">
        <x:v>Establish van hazard; cue, refusal and creeping wheel</x:v>
      </x:c>
      <x:c r="E26" s="17" t="n">
        <x:v>305</x:v>
      </x:c>
      <x:c r="F26" s="17" t="n">
        <x:v>16</x:v>
      </x:c>
      <x:c r="G26" s="17" t="n">
        <x:f>COUNTIFS('Attempts'!$B$7:$B$102,$B26)</x:f>
        <x:v>1</x:v>
      </x:c>
      <x:c r="H26" s="17" t="n">
        <x:f>COUNTIFS('Attempts'!$B$7:$B$102,$B26,'Attempts'!$D$7:$D$102,"succeeded")</x:f>
        <x:v>1</x:v>
      </x:c>
      <x:c r="I26" s="17" t="n">
        <x:f>COUNTIFS('Attempts'!$B$7:$B$102,$B26,'Attempts'!$D$7:$D$102,"failed")</x:f>
        <x:v>0</x:v>
      </x:c>
      <x:c r="J26" s="17" t="n">
        <x:f>COUNTIFS('Attempts'!$B$7:$B$102,$B26,'Attempts'!$D$7:$D$102,"rejected")</x:f>
        <x:v>0</x:v>
      </x:c>
      <x:c r="K26" s="17" t="n">
        <x:v>1</x:v>
      </x:c>
      <x:c r="L26" s="9" t="str">
        <x:v>take_01</x:v>
      </x:c>
      <x:c r="M26" s="9" t="str">
        <x:v>take_01</x:v>
      </x:c>
      <x:c r="N26" s="9" t="str">
        <x:v>take_01</x:v>
      </x:c>
      <x:c r="O26" s="17" t="n">
        <x:f>SUMIFS('Attempts'!$L$7:$L$102,'Attempts'!$B$7:$B$102,$B26)</x:f>
        <x:v>16</x:v>
      </x:c>
      <x:c r="P26" s="17" t="n">
        <x:f>SUMIFS('Attempts'!$I$7:$I$102,'Attempts'!$B$7:$B$102,$B26)</x:f>
        <x:v>16</x:v>
      </x:c>
      <x:c r="Q26" s="17" t="n">
        <x:f>SUMIFS('Attempts'!$K$7:$K$102,'Attempts'!$B$7:$B$102,$B26)</x:f>
        <x:v>154120</x:v>
      </x:c>
      <x:c r="R26" s="19" t="n">
        <x:f>SUMIFS('Attempts'!$O$7:$O$102,'Attempts'!$B$7:$B$102,$B26)</x:f>
        <x:v>1.649084</x:v>
      </x:c>
      <x:c r="S26" s="21" t="n">
        <x:f>SUMIFS('Attempts'!$P$7:$P$102,'Attempts'!$B$7:$B$102,$B26)</x:f>
        <x:v>12.940362148</x:v>
      </x:c>
      <x:c r="T26" s="9" t="str">
        <x:v>dreamina-seedance-2-5-260628</x:v>
      </x:c>
      <x:c r="U26" s="9" t="str">
        <x:v>480p (854x480)</x:v>
      </x:c>
      <x:c r="V26" s="9" t="str">
        <x:v>16:9</x:v>
      </x:c>
      <x:c r="W26" s="9" t="str"/>
    </x:row>
    <x:row r="27" ht="32" customHeight="1">
      <x:c r="A27" s="2" t="n">
        <x:v>21</x:v>
      </x:c>
      <x:c r="B27" s="2" t="str">
        <x:v>s05_c02</x:v>
      </x:c>
      <x:c r="C27" s="2" t="n">
        <x:v>5</x:v>
      </x:c>
      <x:c r="D27" s="22" t="str">
        <x:v>Pedestrian confirms hazard; van clears; choose next phase</x:v>
      </x:c>
      <x:c r="E27" s="16" t="n">
        <x:v>321</x:v>
      </x:c>
      <x:c r="F27" s="16" t="n">
        <x:v>20</x:v>
      </x:c>
      <x:c r="G27" s="16" t="n">
        <x:f>COUNTIFS('Attempts'!$B$7:$B$102,$B27)</x:f>
        <x:v>1</x:v>
      </x:c>
      <x:c r="H27" s="16" t="n">
        <x:f>COUNTIFS('Attempts'!$B$7:$B$102,$B27,'Attempts'!$D$7:$D$102,"succeeded")</x:f>
        <x:v>1</x:v>
      </x:c>
      <x:c r="I27" s="16" t="n">
        <x:f>COUNTIFS('Attempts'!$B$7:$B$102,$B27,'Attempts'!$D$7:$D$102,"failed")</x:f>
        <x:v>0</x:v>
      </x:c>
      <x:c r="J27" s="16" t="n">
        <x:f>COUNTIFS('Attempts'!$B$7:$B$102,$B27,'Attempts'!$D$7:$D$102,"rejected")</x:f>
        <x:v>0</x:v>
      </x:c>
      <x:c r="K27" s="16" t="n">
        <x:v>1</x:v>
      </x:c>
      <x:c r="L27" s="2" t="str">
        <x:v>take_01</x:v>
      </x:c>
      <x:c r="M27" s="2" t="str">
        <x:v>take_01</x:v>
      </x:c>
      <x:c r="N27" s="2" t="str">
        <x:v>take_01</x:v>
      </x:c>
      <x:c r="O27" s="16" t="n">
        <x:f>SUMIFS('Attempts'!$L$7:$L$102,'Attempts'!$B$7:$B$102,$B27)</x:f>
        <x:v>20</x:v>
      </x:c>
      <x:c r="P27" s="16" t="n">
        <x:f>SUMIFS('Attempts'!$I$7:$I$102,'Attempts'!$B$7:$B$102,$B27)</x:f>
        <x:v>20</x:v>
      </x:c>
      <x:c r="Q27" s="16" t="n">
        <x:f>SUMIFS('Attempts'!$K$7:$K$102,'Attempts'!$B$7:$B$102,$B27)</x:f>
        <x:v>192550</x:v>
      </x:c>
      <x:c r="R27" s="18" t="n">
        <x:f>SUMIFS('Attempts'!$O$7:$O$102,'Attempts'!$B$7:$B$102,$B27)</x:f>
        <x:v>2.060285</x:v>
      </x:c>
      <x:c r="S27" s="20" t="n">
        <x:f>SUMIFS('Attempts'!$P$7:$P$102,'Attempts'!$B$7:$B$102,$B27)</x:f>
        <x:v>16.167056395</x:v>
      </x:c>
      <x:c r="T27" s="2" t="str">
        <x:v>dreamina-seedance-2-5-260628</x:v>
      </x:c>
      <x:c r="U27" s="2" t="str">
        <x:v>480p (854x480)</x:v>
      </x:c>
      <x:c r="V27" s="2" t="str">
        <x:v>16:9</x:v>
      </x:c>
      <x:c r="W27" s="2" t="str"/>
    </x:row>
    <x:row r="28" ht="32" customHeight="1">
      <x:c r="A28" s="9" t="n">
        <x:v>22</x:v>
      </x:c>
      <x:c r="B28" s="9" t="str">
        <x:v>s05_c03</x:v>
      </x:c>
      <x:c r="C28" s="9" t="n">
        <x:v>5</x:v>
      </x:c>
      <x:c r="D28" s="23" t="str">
        <x:v>Fresh signal, complete crossing and shoulder-rub payoff</x:v>
      </x:c>
      <x:c r="E28" s="17" t="n">
        <x:v>341</x:v>
      </x:c>
      <x:c r="F28" s="17" t="n">
        <x:v>19</x:v>
      </x:c>
      <x:c r="G28" s="17" t="n">
        <x:f>COUNTIFS('Attempts'!$B$7:$B$102,$B28)</x:f>
        <x:v>1</x:v>
      </x:c>
      <x:c r="H28" s="17" t="n">
        <x:f>COUNTIFS('Attempts'!$B$7:$B$102,$B28,'Attempts'!$D$7:$D$102,"succeeded")</x:f>
        <x:v>1</x:v>
      </x:c>
      <x:c r="I28" s="17" t="n">
        <x:f>COUNTIFS('Attempts'!$B$7:$B$102,$B28,'Attempts'!$D$7:$D$102,"failed")</x:f>
        <x:v>0</x:v>
      </x:c>
      <x:c r="J28" s="17" t="n">
        <x:f>COUNTIFS('Attempts'!$B$7:$B$102,$B28,'Attempts'!$D$7:$D$102,"rejected")</x:f>
        <x:v>0</x:v>
      </x:c>
      <x:c r="K28" s="17" t="n">
        <x:v>1</x:v>
      </x:c>
      <x:c r="L28" s="9" t="str">
        <x:v>take_01</x:v>
      </x:c>
      <x:c r="M28" s="9" t="str">
        <x:v>take_01</x:v>
      </x:c>
      <x:c r="N28" s="9" t="str">
        <x:v>take_01</x:v>
      </x:c>
      <x:c r="O28" s="17" t="n">
        <x:f>SUMIFS('Attempts'!$L$7:$L$102,'Attempts'!$B$7:$B$102,$B28)</x:f>
        <x:v>19</x:v>
      </x:c>
      <x:c r="P28" s="17" t="n">
        <x:f>SUMIFS('Attempts'!$I$7:$I$102,'Attempts'!$B$7:$B$102,$B28)</x:f>
        <x:v>19</x:v>
      </x:c>
      <x:c r="Q28" s="17" t="n">
        <x:f>SUMIFS('Attempts'!$K$7:$K$102,'Attempts'!$B$7:$B$102,$B28)</x:f>
        <x:v>182942</x:v>
      </x:c>
      <x:c r="R28" s="19" t="n">
        <x:f>SUMIFS('Attempts'!$O$7:$O$102,'Attempts'!$B$7:$B$102,$B28)</x:f>
        <x:v>1.9574794</x:v>
      </x:c>
      <x:c r="S28" s="21" t="n">
        <x:f>SUMIFS('Attempts'!$P$7:$P$102,'Attempts'!$B$7:$B$102,$B28)</x:f>
        <x:v>15.3603408518</x:v>
      </x:c>
      <x:c r="T28" s="9" t="str">
        <x:v>dreamina-seedance-2-5-260628</x:v>
      </x:c>
      <x:c r="U28" s="9" t="str">
        <x:v>480p (854x480)</x:v>
      </x:c>
      <x:c r="V28" s="9" t="str">
        <x:v>16:9</x:v>
      </x:c>
      <x:c r="W28" s="9" t="str"/>
    </x:row>
    <x:row r="29" ht="32" customHeight="1">
      <x:c r="A29" s="2" t="n">
        <x:v>23</x:v>
      </x:c>
      <x:c r="B29" s="2" t="str">
        <x:v>s06_c01</x:v>
      </x:c>
      <x:c r="C29" s="2" t="n">
        <x:v>6</x:v>
      </x:c>
      <x:c r="D29" s="22" t="str">
        <x:v>Refusal respected; Tine chooses mat and rest</x:v>
      </x:c>
      <x:c r="E29" s="16" t="n">
        <x:v>360</x:v>
      </x:c>
      <x:c r="F29" s="16" t="n">
        <x:v>18</x:v>
      </x:c>
      <x:c r="G29" s="16" t="n">
        <x:f>COUNTIFS('Attempts'!$B$7:$B$102,$B29)</x:f>
        <x:v>1</x:v>
      </x:c>
      <x:c r="H29" s="16" t="n">
        <x:f>COUNTIFS('Attempts'!$B$7:$B$102,$B29,'Attempts'!$D$7:$D$102,"succeeded")</x:f>
        <x:v>1</x:v>
      </x:c>
      <x:c r="I29" s="16" t="n">
        <x:f>COUNTIFS('Attempts'!$B$7:$B$102,$B29,'Attempts'!$D$7:$D$102,"failed")</x:f>
        <x:v>0</x:v>
      </x:c>
      <x:c r="J29" s="16" t="n">
        <x:f>COUNTIFS('Attempts'!$B$7:$B$102,$B29,'Attempts'!$D$7:$D$102,"rejected")</x:f>
        <x:v>0</x:v>
      </x:c>
      <x:c r="K29" s="16" t="n">
        <x:v>1</x:v>
      </x:c>
      <x:c r="L29" s="2" t="str">
        <x:v>take_01</x:v>
      </x:c>
      <x:c r="M29" s="2" t="str">
        <x:v>take_01</x:v>
      </x:c>
      <x:c r="N29" s="2" t="str">
        <x:v>take_01</x:v>
      </x:c>
      <x:c r="O29" s="16" t="n">
        <x:f>SUMIFS('Attempts'!$L$7:$L$102,'Attempts'!$B$7:$B$102,$B29)</x:f>
        <x:v>18</x:v>
      </x:c>
      <x:c r="P29" s="16" t="n">
        <x:f>SUMIFS('Attempts'!$I$7:$I$102,'Attempts'!$B$7:$B$102,$B29)</x:f>
        <x:v>18</x:v>
      </x:c>
      <x:c r="Q29" s="16" t="n">
        <x:f>SUMIFS('Attempts'!$K$7:$K$102,'Attempts'!$B$7:$B$102,$B29)</x:f>
        <x:v>173335</x:v>
      </x:c>
      <x:c r="R29" s="18" t="n">
        <x:f>SUMIFS('Attempts'!$O$7:$O$102,'Attempts'!$B$7:$B$102,$B29)</x:f>
        <x:v>1.8546844999999998</x:v>
      </x:c>
      <x:c r="S29" s="20" t="n">
        <x:f>SUMIFS('Attempts'!$P$7:$P$102,'Attempts'!$B$7:$B$102,$B29)</x:f>
        <x:v>14.553709271499999</x:v>
      </x:c>
      <x:c r="T29" s="2" t="str">
        <x:v>dreamina-seedance-2-5-260628</x:v>
      </x:c>
      <x:c r="U29" s="2" t="str">
        <x:v>480p (854x480)</x:v>
      </x:c>
      <x:c r="V29" s="2" t="str">
        <x:v>16:9</x:v>
      </x:c>
      <x:c r="W29" s="2" t="str"/>
    </x:row>
    <x:row r="30" ht="32" customHeight="1">
      <x:c r="A30" s="9" t="n">
        <x:v>24</x:v>
      </x:c>
      <x:c r="B30" s="9" t="str">
        <x:v>s06_c02</x:v>
      </x:c>
      <x:c r="C30" s="9" t="n">
        <x:v>6</x:v>
      </x:c>
      <x:c r="D30" s="23" t="str">
        <x:v>Fallen flyer tests Tine's restraint without intrusion</x:v>
      </x:c>
      <x:c r="E30" s="17" t="n">
        <x:v>378</x:v>
      </x:c>
      <x:c r="F30" s="17" t="n">
        <x:v>16</x:v>
      </x:c>
      <x:c r="G30" s="17" t="n">
        <x:f>COUNTIFS('Attempts'!$B$7:$B$102,$B30)</x:f>
        <x:v>1</x:v>
      </x:c>
      <x:c r="H30" s="17" t="n">
        <x:f>COUNTIFS('Attempts'!$B$7:$B$102,$B30,'Attempts'!$D$7:$D$102,"succeeded")</x:f>
        <x:v>1</x:v>
      </x:c>
      <x:c r="I30" s="17" t="n">
        <x:f>COUNTIFS('Attempts'!$B$7:$B$102,$B30,'Attempts'!$D$7:$D$102,"failed")</x:f>
        <x:v>0</x:v>
      </x:c>
      <x:c r="J30" s="17" t="n">
        <x:f>COUNTIFS('Attempts'!$B$7:$B$102,$B30,'Attempts'!$D$7:$D$102,"rejected")</x:f>
        <x:v>0</x:v>
      </x:c>
      <x:c r="K30" s="17" t="n">
        <x:v>1</x:v>
      </x:c>
      <x:c r="L30" s="9" t="str">
        <x:v>take_01</x:v>
      </x:c>
      <x:c r="M30" s="9" t="str">
        <x:v>take_01</x:v>
      </x:c>
      <x:c r="N30" s="9" t="str">
        <x:v>take_01</x:v>
      </x:c>
      <x:c r="O30" s="17" t="n">
        <x:f>SUMIFS('Attempts'!$L$7:$L$102,'Attempts'!$B$7:$B$102,$B30)</x:f>
        <x:v>16</x:v>
      </x:c>
      <x:c r="P30" s="17" t="n">
        <x:f>SUMIFS('Attempts'!$I$7:$I$102,'Attempts'!$B$7:$B$102,$B30)</x:f>
        <x:v>16</x:v>
      </x:c>
      <x:c r="Q30" s="17" t="n">
        <x:f>SUMIFS('Attempts'!$K$7:$K$102,'Attempts'!$B$7:$B$102,$B30)</x:f>
        <x:v>154120</x:v>
      </x:c>
      <x:c r="R30" s="19" t="n">
        <x:f>SUMIFS('Attempts'!$O$7:$O$102,'Attempts'!$B$7:$B$102,$B30)</x:f>
        <x:v>1.649084</x:v>
      </x:c>
      <x:c r="S30" s="21" t="n">
        <x:f>SUMIFS('Attempts'!$P$7:$P$102,'Attempts'!$B$7:$B$102,$B30)</x:f>
        <x:v>12.940362148</x:v>
      </x:c>
      <x:c r="T30" s="9" t="str">
        <x:v>dreamina-seedance-2-5-260628</x:v>
      </x:c>
      <x:c r="U30" s="9" t="str">
        <x:v>480p (854x480)</x:v>
      </x:c>
      <x:c r="V30" s="9" t="str">
        <x:v>16:9</x:v>
      </x:c>
      <x:c r="W30" s="9" t="str"/>
    </x:row>
    <x:row r="31" ht="32" customHeight="1">
      <x:c r="A31" s="2" t="n">
        <x:v>25</x:v>
      </x:c>
      <x:c r="B31" s="2" t="str">
        <x:v>s06_c03</x:v>
      </x:c>
      <x:c r="C31" s="2" t="n">
        <x:v>6</x:v>
      </x:c>
      <x:c r="D31" s="22" t="str">
        <x:v>Rest-as-work exchange, funny name and open hand</x:v>
      </x:c>
      <x:c r="E31" s="16" t="n">
        <x:v>394</x:v>
      </x:c>
      <x:c r="F31" s="16" t="n">
        <x:v>22</x:v>
      </x:c>
      <x:c r="G31" s="16" t="n">
        <x:f>COUNTIFS('Attempts'!$B$7:$B$102,$B31)</x:f>
        <x:v>1</x:v>
      </x:c>
      <x:c r="H31" s="16" t="n">
        <x:f>COUNTIFS('Attempts'!$B$7:$B$102,$B31,'Attempts'!$D$7:$D$102,"succeeded")</x:f>
        <x:v>1</x:v>
      </x:c>
      <x:c r="I31" s="16" t="n">
        <x:f>COUNTIFS('Attempts'!$B$7:$B$102,$B31,'Attempts'!$D$7:$D$102,"failed")</x:f>
        <x:v>0</x:v>
      </x:c>
      <x:c r="J31" s="16" t="n">
        <x:f>COUNTIFS('Attempts'!$B$7:$B$102,$B31,'Attempts'!$D$7:$D$102,"rejected")</x:f>
        <x:v>0</x:v>
      </x:c>
      <x:c r="K31" s="16" t="n">
        <x:v>1</x:v>
      </x:c>
      <x:c r="L31" s="2" t="str">
        <x:v>take_01</x:v>
      </x:c>
      <x:c r="M31" s="2" t="str">
        <x:v>take_01</x:v>
      </x:c>
      <x:c r="N31" s="2" t="str">
        <x:v>take_01</x:v>
      </x:c>
      <x:c r="O31" s="16" t="n">
        <x:f>SUMIFS('Attempts'!$L$7:$L$102,'Attempts'!$B$7:$B$102,$B31)</x:f>
        <x:v>22</x:v>
      </x:c>
      <x:c r="P31" s="16" t="n">
        <x:f>SUMIFS('Attempts'!$I$7:$I$102,'Attempts'!$B$7:$B$102,$B31)</x:f>
        <x:v>22</x:v>
      </x:c>
      <x:c r="Q31" s="16" t="n">
        <x:f>SUMIFS('Attempts'!$K$7:$K$102,'Attempts'!$B$7:$B$102,$B31)</x:f>
        <x:v>211765</x:v>
      </x:c>
      <x:c r="R31" s="18" t="n">
        <x:f>SUMIFS('Attempts'!$O$7:$O$102,'Attempts'!$B$7:$B$102,$B31)</x:f>
        <x:v>2.2658855</x:v>
      </x:c>
      <x:c r="S31" s="20" t="n">
        <x:f>SUMIFS('Attempts'!$P$7:$P$102,'Attempts'!$B$7:$B$102,$B31)</x:f>
        <x:v>17.780403518500002</x:v>
      </x:c>
      <x:c r="T31" s="2" t="str">
        <x:v>dreamina-seedance-2-5-260628</x:v>
      </x:c>
      <x:c r="U31" s="2" t="str">
        <x:v>480p (854x480)</x:v>
      </x:c>
      <x:c r="V31" s="2" t="str">
        <x:v>16:9</x:v>
      </x:c>
      <x:c r="W31" s="2" t="str"/>
    </x:row>
    <x:row r="32" ht="32" customHeight="1">
      <x:c r="A32" s="9" t="n">
        <x:v>26</x:v>
      </x:c>
      <x:c r="B32" s="9" t="str">
        <x:v>s06_c04</x:v>
      </x:c>
      <x:c r="C32" s="9" t="n">
        <x:v>6</x:v>
      </x:c>
      <x:c r="D32" s="23" t="str">
        <x:v>Invitation, shoulder contact and reluctant goodbye</x:v>
      </x:c>
      <x:c r="E32" s="17" t="n">
        <x:v>416</x:v>
      </x:c>
      <x:c r="F32" s="17" t="n">
        <x:v>24</x:v>
      </x:c>
      <x:c r="G32" s="17" t="n">
        <x:f>COUNTIFS('Attempts'!$B$7:$B$102,$B32)</x:f>
        <x:v>1</x:v>
      </x:c>
      <x:c r="H32" s="17" t="n">
        <x:f>COUNTIFS('Attempts'!$B$7:$B$102,$B32,'Attempts'!$D$7:$D$102,"succeeded")</x:f>
        <x:v>1</x:v>
      </x:c>
      <x:c r="I32" s="17" t="n">
        <x:f>COUNTIFS('Attempts'!$B$7:$B$102,$B32,'Attempts'!$D$7:$D$102,"failed")</x:f>
        <x:v>0</x:v>
      </x:c>
      <x:c r="J32" s="17" t="n">
        <x:f>COUNTIFS('Attempts'!$B$7:$B$102,$B32,'Attempts'!$D$7:$D$102,"rejected")</x:f>
        <x:v>0</x:v>
      </x:c>
      <x:c r="K32" s="17" t="n">
        <x:v>1</x:v>
      </x:c>
      <x:c r="L32" s="9" t="str">
        <x:v>take_01</x:v>
      </x:c>
      <x:c r="M32" s="9" t="str">
        <x:v>take_01</x:v>
      </x:c>
      <x:c r="N32" s="9" t="str">
        <x:v>take_01</x:v>
      </x:c>
      <x:c r="O32" s="17" t="n">
        <x:f>SUMIFS('Attempts'!$L$7:$L$102,'Attempts'!$B$7:$B$102,$B32)</x:f>
        <x:v>24</x:v>
      </x:c>
      <x:c r="P32" s="17" t="n">
        <x:f>SUMIFS('Attempts'!$I$7:$I$102,'Attempts'!$B$7:$B$102,$B32)</x:f>
        <x:v>24</x:v>
      </x:c>
      <x:c r="Q32" s="17" t="n">
        <x:f>SUMIFS('Attempts'!$K$7:$K$102,'Attempts'!$B$7:$B$102,$B32)</x:f>
        <x:v>230980</x:v>
      </x:c>
      <x:c r="R32" s="19" t="n">
        <x:f>SUMIFS('Attempts'!$O$7:$O$102,'Attempts'!$B$7:$B$102,$B32)</x:f>
        <x:v>2.471486</x:v>
      </x:c>
      <x:c r="S32" s="21" t="n">
        <x:f>SUMIFS('Attempts'!$P$7:$P$102,'Attempts'!$B$7:$B$102,$B32)</x:f>
        <x:v>19.393750642</x:v>
      </x:c>
      <x:c r="T32" s="9" t="str">
        <x:v>dreamina-seedance-2-5-260628</x:v>
      </x:c>
      <x:c r="U32" s="9" t="str">
        <x:v>480p (854x480)</x:v>
      </x:c>
      <x:c r="V32" s="9" t="str">
        <x:v>16:9</x:v>
      </x:c>
      <x:c r="W32" s="9" t="str"/>
    </x:row>
    <x:row r="33" ht="32" customHeight="1">
      <x:c r="A33" s="2" t="n">
        <x:v>27</x:v>
      </x:c>
      <x:c r="B33" s="2" t="str">
        <x:v>s07_c01</x:v>
      </x:c>
      <x:c r="C33" s="2" t="n">
        <x:v>7</x:v>
      </x:c>
      <x:c r="D33" s="22" t="str">
        <x:v>Harness off, whole-body shake and impatient toy delivery</x:v>
      </x:c>
      <x:c r="E33" s="16" t="n">
        <x:v>440</x:v>
      </x:c>
      <x:c r="F33" s="16" t="n">
        <x:v>13</x:v>
      </x:c>
      <x:c r="G33" s="16" t="n">
        <x:f>COUNTIFS('Attempts'!$B$7:$B$102,$B33)</x:f>
        <x:v>1</x:v>
      </x:c>
      <x:c r="H33" s="16" t="n">
        <x:f>COUNTIFS('Attempts'!$B$7:$B$102,$B33,'Attempts'!$D$7:$D$102,"succeeded")</x:f>
        <x:v>1</x:v>
      </x:c>
      <x:c r="I33" s="16" t="n">
        <x:f>COUNTIFS('Attempts'!$B$7:$B$102,$B33,'Attempts'!$D$7:$D$102,"failed")</x:f>
        <x:v>0</x:v>
      </x:c>
      <x:c r="J33" s="16" t="n">
        <x:f>COUNTIFS('Attempts'!$B$7:$B$102,$B33,'Attempts'!$D$7:$D$102,"rejected")</x:f>
        <x:v>0</x:v>
      </x:c>
      <x:c r="K33" s="16" t="n">
        <x:v>1</x:v>
      </x:c>
      <x:c r="L33" s="2" t="str">
        <x:v>take_01</x:v>
      </x:c>
      <x:c r="M33" s="2" t="str">
        <x:v>take_01</x:v>
      </x:c>
      <x:c r="N33" s="2" t="str">
        <x:v>take_01</x:v>
      </x:c>
      <x:c r="O33" s="16" t="n">
        <x:f>SUMIFS('Attempts'!$L$7:$L$102,'Attempts'!$B$7:$B$102,$B33)</x:f>
        <x:v>13</x:v>
      </x:c>
      <x:c r="P33" s="16" t="n">
        <x:f>SUMIFS('Attempts'!$I$7:$I$102,'Attempts'!$B$7:$B$102,$B33)</x:f>
        <x:v>13</x:v>
      </x:c>
      <x:c r="Q33" s="16" t="n">
        <x:f>SUMIFS('Attempts'!$K$7:$K$102,'Attempts'!$B$7:$B$102,$B33)</x:f>
        <x:v>125297</x:v>
      </x:c>
      <x:c r="R33" s="18" t="n">
        <x:f>SUMIFS('Attempts'!$O$7:$O$102,'Attempts'!$B$7:$B$102,$B33)</x:f>
        <x:v>1.3406779</x:v>
      </x:c>
      <x:c r="S33" s="20" t="n">
        <x:f>SUMIFS('Attempts'!$P$7:$P$102,'Attempts'!$B$7:$B$102,$B33)</x:f>
        <x:v>10.5202994813</x:v>
      </x:c>
      <x:c r="T33" s="2" t="str">
        <x:v>dreamina-seedance-2-5-260628</x:v>
      </x:c>
      <x:c r="U33" s="2" t="str">
        <x:v>480p (854x480)</x:v>
      </x:c>
      <x:c r="V33" s="2" t="str">
        <x:v>16:9</x:v>
      </x:c>
      <x:c r="W33" s="2" t="str"/>
    </x:row>
    <x:row r="34" ht="32" customHeight="1">
      <x:c r="A34" s="9" t="n">
        <x:v>28</x:v>
      </x:c>
      <x:c r="B34" s="9" t="str">
        <x:v>s07_c02</x:v>
      </x:c>
      <x:c r="C34" s="9" t="n">
        <x:v>7</x:v>
      </x:c>
      <x:c r="D34" s="23" t="str">
        <x:v>Knee-switch squeak and determined tug</x:v>
      </x:c>
      <x:c r="E34" s="17" t="n">
        <x:v>453</x:v>
      </x:c>
      <x:c r="F34" s="17" t="n">
        <x:v>17</x:v>
      </x:c>
      <x:c r="G34" s="17" t="n">
        <x:f>COUNTIFS('Attempts'!$B$7:$B$102,$B34)</x:f>
        <x:v>1</x:v>
      </x:c>
      <x:c r="H34" s="17" t="n">
        <x:f>COUNTIFS('Attempts'!$B$7:$B$102,$B34,'Attempts'!$D$7:$D$102,"succeeded")</x:f>
        <x:v>1</x:v>
      </x:c>
      <x:c r="I34" s="17" t="n">
        <x:f>COUNTIFS('Attempts'!$B$7:$B$102,$B34,'Attempts'!$D$7:$D$102,"failed")</x:f>
        <x:v>0</x:v>
      </x:c>
      <x:c r="J34" s="17" t="n">
        <x:f>COUNTIFS('Attempts'!$B$7:$B$102,$B34,'Attempts'!$D$7:$D$102,"rejected")</x:f>
        <x:v>0</x:v>
      </x:c>
      <x:c r="K34" s="17" t="n">
        <x:v>1</x:v>
      </x:c>
      <x:c r="L34" s="9" t="str">
        <x:v>take_01</x:v>
      </x:c>
      <x:c r="M34" s="9" t="str">
        <x:v>take_01</x:v>
      </x:c>
      <x:c r="N34" s="9" t="str">
        <x:v>take_01</x:v>
      </x:c>
      <x:c r="O34" s="17" t="n">
        <x:f>SUMIFS('Attempts'!$L$7:$L$102,'Attempts'!$B$7:$B$102,$B34)</x:f>
        <x:v>17</x:v>
      </x:c>
      <x:c r="P34" s="17" t="n">
        <x:f>SUMIFS('Attempts'!$I$7:$I$102,'Attempts'!$B$7:$B$102,$B34)</x:f>
        <x:v>17</x:v>
      </x:c>
      <x:c r="Q34" s="17" t="n">
        <x:f>SUMIFS('Attempts'!$K$7:$K$102,'Attempts'!$B$7:$B$102,$B34)</x:f>
        <x:v>163727</x:v>
      </x:c>
      <x:c r="R34" s="19" t="n">
        <x:f>SUMIFS('Attempts'!$O$7:$O$102,'Attempts'!$B$7:$B$102,$B34)</x:f>
        <x:v>1.7518789</x:v>
      </x:c>
      <x:c r="S34" s="21" t="n">
        <x:f>SUMIFS('Attempts'!$P$7:$P$102,'Attempts'!$B$7:$B$102,$B34)</x:f>
        <x:v>13.7469937283</x:v>
      </x:c>
      <x:c r="T34" s="9" t="str">
        <x:v>dreamina-seedance-2-5-260628</x:v>
      </x:c>
      <x:c r="U34" s="9" t="str">
        <x:v>480p (854x480)</x:v>
      </x:c>
      <x:c r="V34" s="9" t="str">
        <x:v>16:9</x:v>
      </x:c>
      <x:c r="W34" s="9" t="str"/>
    </x:row>
    <x:row r="35" ht="32" customHeight="1">
      <x:c r="A35" s="2" t="n">
        <x:v>29</x:v>
      </x:c>
      <x:c r="B35" s="2" t="str">
        <x:v>s07_c03</x:v>
      </x:c>
      <x:c r="C35" s="2" t="n">
        <x:v>7</x:v>
      </x:c>
      <x:c r="D35" s="22" t="str">
        <x:v>Cushion collision, laugh and returned toy</x:v>
      </x:c>
      <x:c r="E35" s="16" t="n">
        <x:v>470</x:v>
      </x:c>
      <x:c r="F35" s="16" t="n">
        <x:v>15</x:v>
      </x:c>
      <x:c r="G35" s="16" t="n">
        <x:f>COUNTIFS('Attempts'!$B$7:$B$102,$B35)</x:f>
        <x:v>2</x:v>
      </x:c>
      <x:c r="H35" s="16" t="n">
        <x:f>COUNTIFS('Attempts'!$B$7:$B$102,$B35,'Attempts'!$D$7:$D$102,"succeeded")</x:f>
        <x:v>2</x:v>
      </x:c>
      <x:c r="I35" s="16" t="n">
        <x:f>COUNTIFS('Attempts'!$B$7:$B$102,$B35,'Attempts'!$D$7:$D$102,"failed")</x:f>
        <x:v>0</x:v>
      </x:c>
      <x:c r="J35" s="16" t="n">
        <x:f>COUNTIFS('Attempts'!$B$7:$B$102,$B35,'Attempts'!$D$7:$D$102,"rejected")</x:f>
        <x:v>0</x:v>
      </x:c>
      <x:c r="K35" s="16" t="n">
        <x:v>1</x:v>
      </x:c>
      <x:c r="L35" s="2" t="str">
        <x:v>take_01</x:v>
      </x:c>
      <x:c r="M35" s="2" t="str">
        <x:v>take_02</x:v>
      </x:c>
      <x:c r="N35" s="2" t="str">
        <x:v>take_02</x:v>
      </x:c>
      <x:c r="O35" s="16" t="n">
        <x:f>SUMIFS('Attempts'!$L$7:$L$102,'Attempts'!$B$7:$B$102,$B35)</x:f>
        <x:v>30</x:v>
      </x:c>
      <x:c r="P35" s="16" t="n">
        <x:f>SUMIFS('Attempts'!$I$7:$I$102,'Attempts'!$B$7:$B$102,$B35)</x:f>
        <x:v>30</x:v>
      </x:c>
      <x:c r="Q35" s="16" t="n">
        <x:f>SUMIFS('Attempts'!$K$7:$K$102,'Attempts'!$B$7:$B$102,$B35)</x:f>
        <x:v>289024</x:v>
      </x:c>
      <x:c r="R35" s="18" t="n">
        <x:f>SUMIFS('Attempts'!$O$7:$O$102,'Attempts'!$B$7:$B$102,$B35)</x:f>
        <x:v>3.0925567999999997</x:v>
      </x:c>
      <x:c r="S35" s="20" t="n">
        <x:f>SUMIFS('Attempts'!$P$7:$P$102,'Attempts'!$B$7:$B$102,$B35)</x:f>
        <x:v>24.2672932096</x:v>
      </x:c>
      <x:c r="T35" s="2" t="str">
        <x:v>dreamina-seedance-2-5-260628</x:v>
      </x:c>
      <x:c r="U35" s="2" t="str">
        <x:v>480p (854x480)</x:v>
      </x:c>
      <x:c r="V35" s="2" t="str">
        <x:v>16:9</x:v>
      </x:c>
      <x:c r="W35" s="2" t="str">
        <x:v>Evening lighting continuity revised.</x:v>
      </x:c>
    </x:row>
    <x:row r="36" ht="32" customHeight="1">
      <x:c r="A36" s="9" t="n">
        <x:v>30</x:v>
      </x:c>
      <x:c r="B36" s="9" t="str">
        <x:v>s07_c04</x:v>
      </x:c>
      <x:c r="C36" s="9" t="n">
        <x:v>7</x:v>
      </x:c>
      <x:c r="D36" s="23" t="str">
        <x:v>Seated editing and quiet dog-to-foot contact</x:v>
      </x:c>
      <x:c r="E36" s="17" t="n">
        <x:v>485</x:v>
      </x:c>
      <x:c r="F36" s="17" t="n">
        <x:v>10</x:v>
      </x:c>
      <x:c r="G36" s="17" t="n">
        <x:f>COUNTIFS('Attempts'!$B$7:$B$102,$B36)</x:f>
        <x:v>1</x:v>
      </x:c>
      <x:c r="H36" s="17" t="n">
        <x:f>COUNTIFS('Attempts'!$B$7:$B$102,$B36,'Attempts'!$D$7:$D$102,"succeeded")</x:f>
        <x:v>1</x:v>
      </x:c>
      <x:c r="I36" s="17" t="n">
        <x:f>COUNTIFS('Attempts'!$B$7:$B$102,$B36,'Attempts'!$D$7:$D$102,"failed")</x:f>
        <x:v>0</x:v>
      </x:c>
      <x:c r="J36" s="17" t="n">
        <x:f>COUNTIFS('Attempts'!$B$7:$B$102,$B36,'Attempts'!$D$7:$D$102,"rejected")</x:f>
        <x:v>0</x:v>
      </x:c>
      <x:c r="K36" s="17" t="n">
        <x:v>1</x:v>
      </x:c>
      <x:c r="L36" s="9" t="str">
        <x:v>take_01</x:v>
      </x:c>
      <x:c r="M36" s="9" t="str">
        <x:v>take_01</x:v>
      </x:c>
      <x:c r="N36" s="9" t="str">
        <x:v>take_01</x:v>
      </x:c>
      <x:c r="O36" s="17" t="n">
        <x:f>SUMIFS('Attempts'!$L$7:$L$102,'Attempts'!$B$7:$B$102,$B36)</x:f>
        <x:v>10</x:v>
      </x:c>
      <x:c r="P36" s="17" t="n">
        <x:f>SUMIFS('Attempts'!$I$7:$I$102,'Attempts'!$B$7:$B$102,$B36)</x:f>
        <x:v>10</x:v>
      </x:c>
      <x:c r="Q36" s="17" t="n">
        <x:f>SUMIFS('Attempts'!$K$7:$K$102,'Attempts'!$B$7:$B$102,$B36)</x:f>
        <x:v>96475</x:v>
      </x:c>
      <x:c r="R36" s="19" t="n">
        <x:f>SUMIFS('Attempts'!$O$7:$O$102,'Attempts'!$B$7:$B$102,$B36)</x:f>
        <x:v>1.0322825</x:v>
      </x:c>
      <x:c r="S36" s="21" t="n">
        <x:f>SUMIFS('Attempts'!$P$7:$P$102,'Attempts'!$B$7:$B$102,$B36)</x:f>
        <x:v>8.1003207775</x:v>
      </x:c>
      <x:c r="T36" s="9" t="str">
        <x:v>dreamina-seedance-2-5-260628</x:v>
      </x:c>
      <x:c r="U36" s="9" t="str">
        <x:v>480p (854x480)</x:v>
      </x:c>
      <x:c r="V36" s="9" t="str">
        <x:v>16:9</x:v>
      </x:c>
      <x:c r="W36" s="9" t="str"/>
    </x:row>
    <x:row r="37" ht="32" customHeight="1">
      <x:c r="A37" s="2" t="n">
        <x:v>31</x:v>
      </x:c>
      <x:c r="B37" s="2" t="str">
        <x:v>s08_c01</x:v>
      </x:c>
      <x:c r="C37" s="2" t="n">
        <x:v>8</x:v>
      </x:c>
      <x:c r="D37" s="22" t="str">
        <x:v>Establish public routes and wall occlusion</x:v>
      </x:c>
      <x:c r="E37" s="16" t="n">
        <x:v>495</x:v>
      </x:c>
      <x:c r="F37" s="16" t="n">
        <x:v>16</x:v>
      </x:c>
      <x:c r="G37" s="16" t="n">
        <x:f>COUNTIFS('Attempts'!$B$7:$B$102,$B37)</x:f>
        <x:v>1</x:v>
      </x:c>
      <x:c r="H37" s="16" t="n">
        <x:f>COUNTIFS('Attempts'!$B$7:$B$102,$B37,'Attempts'!$D$7:$D$102,"succeeded")</x:f>
        <x:v>1</x:v>
      </x:c>
      <x:c r="I37" s="16" t="n">
        <x:f>COUNTIFS('Attempts'!$B$7:$B$102,$B37,'Attempts'!$D$7:$D$102,"failed")</x:f>
        <x:v>0</x:v>
      </x:c>
      <x:c r="J37" s="16" t="n">
        <x:f>COUNTIFS('Attempts'!$B$7:$B$102,$B37,'Attempts'!$D$7:$D$102,"rejected")</x:f>
        <x:v>0</x:v>
      </x:c>
      <x:c r="K37" s="16" t="n">
        <x:v>1</x:v>
      </x:c>
      <x:c r="L37" s="2" t="str">
        <x:v>take_01</x:v>
      </x:c>
      <x:c r="M37" s="2" t="str">
        <x:v>take_01</x:v>
      </x:c>
      <x:c r="N37" s="2" t="str">
        <x:v>take_01</x:v>
      </x:c>
      <x:c r="O37" s="16" t="n">
        <x:f>SUMIFS('Attempts'!$L$7:$L$102,'Attempts'!$B$7:$B$102,$B37)</x:f>
        <x:v>16</x:v>
      </x:c>
      <x:c r="P37" s="16" t="n">
        <x:f>SUMIFS('Attempts'!$I$7:$I$102,'Attempts'!$B$7:$B$102,$B37)</x:f>
        <x:v>16</x:v>
      </x:c>
      <x:c r="Q37" s="16" t="n">
        <x:f>SUMIFS('Attempts'!$K$7:$K$102,'Attempts'!$B$7:$B$102,$B37)</x:f>
        <x:v>154120</x:v>
      </x:c>
      <x:c r="R37" s="18" t="n">
        <x:f>SUMIFS('Attempts'!$O$7:$O$102,'Attempts'!$B$7:$B$102,$B37)</x:f>
        <x:v>1.649084</x:v>
      </x:c>
      <x:c r="S37" s="20" t="n">
        <x:f>SUMIFS('Attempts'!$P$7:$P$102,'Attempts'!$B$7:$B$102,$B37)</x:f>
        <x:v>12.940362148</x:v>
      </x:c>
      <x:c r="T37" s="2" t="str">
        <x:v>dreamina-seedance-2-5-260628</x:v>
      </x:c>
      <x:c r="U37" s="2" t="str">
        <x:v>480p (854x480)</x:v>
      </x:c>
      <x:c r="V37" s="2" t="str">
        <x:v>16:9</x:v>
      </x:c>
      <x:c r="W37" s="2" t="str"/>
    </x:row>
    <x:row r="38" ht="32" customHeight="1">
      <x:c r="A38" s="9" t="n">
        <x:v>32</x:v>
      </x:c>
      <x:c r="B38" s="9" t="str">
        <x:v>s08_c02</x:v>
      </x:c>
      <x:c r="C38" s="9" t="n">
        <x:v>8</x:v>
      </x:c>
      <x:c r="D38" s="23" t="str">
        <x:v>Ear response, fleeting cream coat and second near miss</x:v>
      </x:c>
      <x:c r="E38" s="17" t="n">
        <x:v>511</x:v>
      </x:c>
      <x:c r="F38" s="17" t="n">
        <x:v>14</x:v>
      </x:c>
      <x:c r="G38" s="17" t="n">
        <x:f>COUNTIFS('Attempts'!$B$7:$B$102,$B38)</x:f>
        <x:v>2</x:v>
      </x:c>
      <x:c r="H38" s="17" t="n">
        <x:f>COUNTIFS('Attempts'!$B$7:$B$102,$B38,'Attempts'!$D$7:$D$102,"succeeded")</x:f>
        <x:v>2</x:v>
      </x:c>
      <x:c r="I38" s="17" t="n">
        <x:f>COUNTIFS('Attempts'!$B$7:$B$102,$B38,'Attempts'!$D$7:$D$102,"failed")</x:f>
        <x:v>0</x:v>
      </x:c>
      <x:c r="J38" s="17" t="n">
        <x:f>COUNTIFS('Attempts'!$B$7:$B$102,$B38,'Attempts'!$D$7:$D$102,"rejected")</x:f>
        <x:v>0</x:v>
      </x:c>
      <x:c r="K38" s="17" t="n">
        <x:v>1</x:v>
      </x:c>
      <x:c r="L38" s="9" t="str">
        <x:v>take_01</x:v>
      </x:c>
      <x:c r="M38" s="9" t="str">
        <x:v>take_02</x:v>
      </x:c>
      <x:c r="N38" s="9" t="str">
        <x:v>take_02</x:v>
      </x:c>
      <x:c r="O38" s="17" t="n">
        <x:f>SUMIFS('Attempts'!$L$7:$L$102,'Attempts'!$B$7:$B$102,$B38)</x:f>
        <x:v>28</x:v>
      </x:c>
      <x:c r="P38" s="17" t="n">
        <x:f>SUMIFS('Attempts'!$I$7:$I$102,'Attempts'!$B$7:$B$102,$B38)</x:f>
        <x:v>28</x:v>
      </x:c>
      <x:c r="Q38" s="17" t="n">
        <x:f>SUMIFS('Attempts'!$K$7:$K$102,'Attempts'!$B$7:$B$102,$B38)</x:f>
        <x:v>269810</x:v>
      </x:c>
      <x:c r="R38" s="19" t="n">
        <x:f>SUMIFS('Attempts'!$O$7:$O$102,'Attempts'!$B$7:$B$102,$B38)</x:f>
        <x:v>2.886967</x:v>
      </x:c>
      <x:c r="S38" s="21" t="n">
        <x:f>SUMIFS('Attempts'!$P$7:$P$102,'Attempts'!$B$7:$B$102,$B38)</x:f>
        <x:v>22.654030049</x:v>
      </x:c>
      <x:c r="T38" s="9" t="str">
        <x:v>dreamina-seedance-2-5-260628</x:v>
      </x:c>
      <x:c r="U38" s="9" t="str">
        <x:v>480p (854x480)</x:v>
      </x:c>
      <x:c r="V38" s="9" t="str">
        <x:v>16:9</x:v>
      </x:c>
      <x:c r="W38" s="9" t="str">
        <x:v>Walking direction and location continuity revised.</x:v>
      </x:c>
    </x:row>
    <x:row r="39" ht="32" customHeight="1">
      <x:c r="A39" s="2" t="n">
        <x:v>33</x:v>
      </x:c>
      <x:c r="B39" s="2" t="str">
        <x:v>s08_c03</x:v>
      </x:c>
      <x:c r="C39" s="2" t="n">
        <x:v>8</x:v>
      </x:c>
      <x:c r="D39" s="22" t="str">
        <x:v>Unopened newspaper and two umbrella-stand clangs</x:v>
      </x:c>
      <x:c r="E39" s="16" t="n">
        <x:v>525</x:v>
      </x:c>
      <x:c r="F39" s="16" t="n">
        <x:v>16</x:v>
      </x:c>
      <x:c r="G39" s="16" t="n">
        <x:f>COUNTIFS('Attempts'!$B$7:$B$102,$B39)</x:f>
        <x:v>1</x:v>
      </x:c>
      <x:c r="H39" s="16" t="n">
        <x:f>COUNTIFS('Attempts'!$B$7:$B$102,$B39,'Attempts'!$D$7:$D$102,"succeeded")</x:f>
        <x:v>1</x:v>
      </x:c>
      <x:c r="I39" s="16" t="n">
        <x:f>COUNTIFS('Attempts'!$B$7:$B$102,$B39,'Attempts'!$D$7:$D$102,"failed")</x:f>
        <x:v>0</x:v>
      </x:c>
      <x:c r="J39" s="16" t="n">
        <x:f>COUNTIFS('Attempts'!$B$7:$B$102,$B39,'Attempts'!$D$7:$D$102,"rejected")</x:f>
        <x:v>0</x:v>
      </x:c>
      <x:c r="K39" s="16" t="n">
        <x:v>1</x:v>
      </x:c>
      <x:c r="L39" s="2" t="str">
        <x:v>take_01</x:v>
      </x:c>
      <x:c r="M39" s="2" t="str">
        <x:v>take_01</x:v>
      </x:c>
      <x:c r="N39" s="2" t="str">
        <x:v>take_01</x:v>
      </x:c>
      <x:c r="O39" s="16" t="n">
        <x:f>SUMIFS('Attempts'!$L$7:$L$102,'Attempts'!$B$7:$B$102,$B39)</x:f>
        <x:v>16</x:v>
      </x:c>
      <x:c r="P39" s="16" t="n">
        <x:f>SUMIFS('Attempts'!$I$7:$I$102,'Attempts'!$B$7:$B$102,$B39)</x:f>
        <x:v>16</x:v>
      </x:c>
      <x:c r="Q39" s="16" t="n">
        <x:f>SUMIFS('Attempts'!$K$7:$K$102,'Attempts'!$B$7:$B$102,$B39)</x:f>
        <x:v>154120</x:v>
      </x:c>
      <x:c r="R39" s="18" t="n">
        <x:f>SUMIFS('Attempts'!$O$7:$O$102,'Attempts'!$B$7:$B$102,$B39)</x:f>
        <x:v>1.649084</x:v>
      </x:c>
      <x:c r="S39" s="20" t="n">
        <x:f>SUMIFS('Attempts'!$P$7:$P$102,'Attempts'!$B$7:$B$102,$B39)</x:f>
        <x:v>12.940362148</x:v>
      </x:c>
      <x:c r="T39" s="2" t="str">
        <x:v>dreamina-seedance-2-5-260628</x:v>
      </x:c>
      <x:c r="U39" s="2" t="str">
        <x:v>480p (854x480)</x:v>
      </x:c>
      <x:c r="V39" s="2" t="str">
        <x:v>16:9</x:v>
      </x:c>
      <x:c r="W39" s="2" t="str"/>
    </x:row>
    <x:row r="40" ht="32" customHeight="1">
      <x:c r="A40" s="9" t="n">
        <x:v>34</x:v>
      </x:c>
      <x:c r="B40" s="9" t="str">
        <x:v>s08_c04</x:v>
      </x:c>
      <x:c r="C40" s="9" t="n">
        <x:v>8</x:v>
      </x:c>
      <x:c r="D40" s="23" t="str">
        <x:v>Chan calls Tine; exuberance eases into careful approach</x:v>
      </x:c>
      <x:c r="E40" s="17" t="n">
        <x:v>541</x:v>
      </x:c>
      <x:c r="F40" s="17" t="n">
        <x:v>14</x:v>
      </x:c>
      <x:c r="G40" s="17" t="n">
        <x:f>COUNTIFS('Attempts'!$B$7:$B$102,$B40)</x:f>
        <x:v>1</x:v>
      </x:c>
      <x:c r="H40" s="17" t="n">
        <x:f>COUNTIFS('Attempts'!$B$7:$B$102,$B40,'Attempts'!$D$7:$D$102,"succeeded")</x:f>
        <x:v>1</x:v>
      </x:c>
      <x:c r="I40" s="17" t="n">
        <x:f>COUNTIFS('Attempts'!$B$7:$B$102,$B40,'Attempts'!$D$7:$D$102,"failed")</x:f>
        <x:v>0</x:v>
      </x:c>
      <x:c r="J40" s="17" t="n">
        <x:f>COUNTIFS('Attempts'!$B$7:$B$102,$B40,'Attempts'!$D$7:$D$102,"rejected")</x:f>
        <x:v>0</x:v>
      </x:c>
      <x:c r="K40" s="17" t="n">
        <x:v>1</x:v>
      </x:c>
      <x:c r="L40" s="9" t="str">
        <x:v>take_01</x:v>
      </x:c>
      <x:c r="M40" s="9" t="str">
        <x:v>take_01</x:v>
      </x:c>
      <x:c r="N40" s="9" t="str">
        <x:v>take_01</x:v>
      </x:c>
      <x:c r="O40" s="17" t="n">
        <x:f>SUMIFS('Attempts'!$L$7:$L$102,'Attempts'!$B$7:$B$102,$B40)</x:f>
        <x:v>14</x:v>
      </x:c>
      <x:c r="P40" s="17" t="n">
        <x:f>SUMIFS('Attempts'!$I$7:$I$102,'Attempts'!$B$7:$B$102,$B40)</x:f>
        <x:v>14</x:v>
      </x:c>
      <x:c r="Q40" s="17" t="n">
        <x:f>SUMIFS('Attempts'!$K$7:$K$102,'Attempts'!$B$7:$B$102,$B40)</x:f>
        <x:v>134905</x:v>
      </x:c>
      <x:c r="R40" s="19" t="n">
        <x:f>SUMIFS('Attempts'!$O$7:$O$102,'Attempts'!$B$7:$B$102,$B40)</x:f>
        <x:v>1.4434835</x:v>
      </x:c>
      <x:c r="S40" s="21" t="n">
        <x:f>SUMIFS('Attempts'!$P$7:$P$102,'Attempts'!$B$7:$B$102,$B40)</x:f>
        <x:v>11.3270150245</x:v>
      </x:c>
      <x:c r="T40" s="9" t="str">
        <x:v>dreamina-seedance-2-5-260628</x:v>
      </x:c>
      <x:c r="U40" s="9" t="str">
        <x:v>480p (854x480)</x:v>
      </x:c>
      <x:c r="V40" s="9" t="str">
        <x:v>16:9</x:v>
      </x:c>
      <x:c r="W40" s="9" t="str"/>
    </x:row>
    <x:row r="41" ht="32" customHeight="1">
      <x:c r="A41" s="2" t="n">
        <x:v>35</x:v>
      </x:c>
      <x:c r="B41" s="2" t="str">
        <x:v>s09_c01</x:v>
      </x:c>
      <x:c r="C41" s="2" t="n">
        <x:v>9</x:v>
      </x:c>
      <x:c r="D41" s="22" t="str">
        <x:v>Remembered touch; puppy print appears and is put away</x:v>
      </x:c>
      <x:c r="E41" s="16" t="n">
        <x:v>555</x:v>
      </x:c>
      <x:c r="F41" s="16" t="n">
        <x:v>18</x:v>
      </x:c>
      <x:c r="G41" s="16" t="n">
        <x:f>COUNTIFS('Attempts'!$B$7:$B$102,$B41)</x:f>
        <x:v>1</x:v>
      </x:c>
      <x:c r="H41" s="16" t="n">
        <x:f>COUNTIFS('Attempts'!$B$7:$B$102,$B41,'Attempts'!$D$7:$D$102,"succeeded")</x:f>
        <x:v>1</x:v>
      </x:c>
      <x:c r="I41" s="16" t="n">
        <x:f>COUNTIFS('Attempts'!$B$7:$B$102,$B41,'Attempts'!$D$7:$D$102,"failed")</x:f>
        <x:v>0</x:v>
      </x:c>
      <x:c r="J41" s="16" t="n">
        <x:f>COUNTIFS('Attempts'!$B$7:$B$102,$B41,'Attempts'!$D$7:$D$102,"rejected")</x:f>
        <x:v>0</x:v>
      </x:c>
      <x:c r="K41" s="16" t="n">
        <x:v>1</x:v>
      </x:c>
      <x:c r="L41" s="2" t="str">
        <x:v>take_01</x:v>
      </x:c>
      <x:c r="M41" s="2" t="str">
        <x:v>take_01_crop02</x:v>
      </x:c>
      <x:c r="N41" s="2" t="str">
        <x:v>take_01</x:v>
      </x:c>
      <x:c r="O41" s="16" t="n">
        <x:f>SUMIFS('Attempts'!$L$7:$L$102,'Attempts'!$B$7:$B$102,$B41)</x:f>
        <x:v>18</x:v>
      </x:c>
      <x:c r="P41" s="16" t="n">
        <x:f>SUMIFS('Attempts'!$I$7:$I$102,'Attempts'!$B$7:$B$102,$B41)</x:f>
        <x:v>18</x:v>
      </x:c>
      <x:c r="Q41" s="16" t="n">
        <x:f>SUMIFS('Attempts'!$K$7:$K$102,'Attempts'!$B$7:$B$102,$B41)</x:f>
        <x:v>173335</x:v>
      </x:c>
      <x:c r="R41" s="18" t="n">
        <x:f>SUMIFS('Attempts'!$O$7:$O$102,'Attempts'!$B$7:$B$102,$B41)</x:f>
        <x:v>1.8546844999999998</x:v>
      </x:c>
      <x:c r="S41" s="20" t="n">
        <x:f>SUMIFS('Attempts'!$P$7:$P$102,'Attempts'!$B$7:$B$102,$B41)</x:f>
        <x:v>14.553709271499999</x:v>
      </x:c>
      <x:c r="T41" s="2" t="str">
        <x:v>dreamina-seedance-2-5-260628</x:v>
      </x:c>
      <x:c r="U41" s="2" t="str">
        <x:v>480p (854x480)</x:v>
      </x:c>
      <x:c r="V41" s="2" t="str">
        <x:v>16:9</x:v>
      </x:c>
      <x:c r="W41" s="2" t="str">
        <x:v>Local crop removes duplicate child. One Seedance output, no added generation fee.</x:v>
      </x:c>
    </x:row>
    <x:row r="42" ht="32" customHeight="1">
      <x:c r="A42" s="9" t="n">
        <x:v>36</x:v>
      </x:c>
      <x:c r="B42" s="9" t="str">
        <x:v>s09_c02</x:v>
      </x:c>
      <x:c r="C42" s="9" t="n">
        <x:v>9</x:v>
      </x:c>
      <x:c r="D42" s="23" t="str">
        <x:v>Offer-withdraw toy gag resolves with a squeak and bow</x:v>
      </x:c>
      <x:c r="E42" s="17" t="n">
        <x:v>573</x:v>
      </x:c>
      <x:c r="F42" s="17" t="n">
        <x:v>16</x:v>
      </x:c>
      <x:c r="G42" s="17" t="n">
        <x:f>COUNTIFS('Attempts'!$B$7:$B$102,$B42)</x:f>
        <x:v>1</x:v>
      </x:c>
      <x:c r="H42" s="17" t="n">
        <x:f>COUNTIFS('Attempts'!$B$7:$B$102,$B42,'Attempts'!$D$7:$D$102,"succeeded")</x:f>
        <x:v>1</x:v>
      </x:c>
      <x:c r="I42" s="17" t="n">
        <x:f>COUNTIFS('Attempts'!$B$7:$B$102,$B42,'Attempts'!$D$7:$D$102,"failed")</x:f>
        <x:v>0</x:v>
      </x:c>
      <x:c r="J42" s="17" t="n">
        <x:f>COUNTIFS('Attempts'!$B$7:$B$102,$B42,'Attempts'!$D$7:$D$102,"rejected")</x:f>
        <x:v>0</x:v>
      </x:c>
      <x:c r="K42" s="17" t="n">
        <x:v>1</x:v>
      </x:c>
      <x:c r="L42" s="9" t="str">
        <x:v>take_01</x:v>
      </x:c>
      <x:c r="M42" s="9" t="str">
        <x:v>take_01</x:v>
      </x:c>
      <x:c r="N42" s="9" t="str">
        <x:v>take_01</x:v>
      </x:c>
      <x:c r="O42" s="17" t="n">
        <x:f>SUMIFS('Attempts'!$L$7:$L$102,'Attempts'!$B$7:$B$102,$B42)</x:f>
        <x:v>16</x:v>
      </x:c>
      <x:c r="P42" s="17" t="n">
        <x:f>SUMIFS('Attempts'!$I$7:$I$102,'Attempts'!$B$7:$B$102,$B42)</x:f>
        <x:v>16</x:v>
      </x:c>
      <x:c r="Q42" s="17" t="n">
        <x:f>SUMIFS('Attempts'!$K$7:$K$102,'Attempts'!$B$7:$B$102,$B42)</x:f>
        <x:v>154120</x:v>
      </x:c>
      <x:c r="R42" s="19" t="n">
        <x:f>SUMIFS('Attempts'!$O$7:$O$102,'Attempts'!$B$7:$B$102,$B42)</x:f>
        <x:v>1.649084</x:v>
      </x:c>
      <x:c r="S42" s="21" t="n">
        <x:f>SUMIFS('Attempts'!$P$7:$P$102,'Attempts'!$B$7:$B$102,$B42)</x:f>
        <x:v>12.940362148</x:v>
      </x:c>
      <x:c r="T42" s="9" t="str">
        <x:v>dreamina-seedance-2-5-260628</x:v>
      </x:c>
      <x:c r="U42" s="9" t="str">
        <x:v>480p (854x480)</x:v>
      </x:c>
      <x:c r="V42" s="9" t="str">
        <x:v>16:9</x:v>
      </x:c>
      <x:c r="W42" s="9" t="str"/>
    </x:row>
    <x:row r="43" ht="32" customHeight="1">
      <x:c r="A43" s="2" t="n">
        <x:v>37</x:v>
      </x:c>
      <x:c r="B43" s="2" t="str">
        <x:v>s09_c03</x:v>
      </x:c>
      <x:c r="C43" s="2" t="n">
        <x:v>9</x:v>
      </x:c>
      <x:c r="D43" s="22" t="str">
        <x:v>Lok asks, waits, strokes and withdraws</x:v>
      </x:c>
      <x:c r="E43" s="16" t="n">
        <x:v>589</x:v>
      </x:c>
      <x:c r="F43" s="16" t="n">
        <x:v>16</x:v>
      </x:c>
      <x:c r="G43" s="16" t="n">
        <x:f>COUNTIFS('Attempts'!$B$7:$B$102,$B43)</x:f>
        <x:v>1</x:v>
      </x:c>
      <x:c r="H43" s="16" t="n">
        <x:f>COUNTIFS('Attempts'!$B$7:$B$102,$B43,'Attempts'!$D$7:$D$102,"succeeded")</x:f>
        <x:v>1</x:v>
      </x:c>
      <x:c r="I43" s="16" t="n">
        <x:f>COUNTIFS('Attempts'!$B$7:$B$102,$B43,'Attempts'!$D$7:$D$102,"failed")</x:f>
        <x:v>0</x:v>
      </x:c>
      <x:c r="J43" s="16" t="n">
        <x:f>COUNTIFS('Attempts'!$B$7:$B$102,$B43,'Attempts'!$D$7:$D$102,"rejected")</x:f>
        <x:v>0</x:v>
      </x:c>
      <x:c r="K43" s="16" t="n">
        <x:v>1</x:v>
      </x:c>
      <x:c r="L43" s="2" t="str">
        <x:v>take_01</x:v>
      </x:c>
      <x:c r="M43" s="2" t="str">
        <x:v>take_01</x:v>
      </x:c>
      <x:c r="N43" s="2" t="str">
        <x:v>take_01</x:v>
      </x:c>
      <x:c r="O43" s="16" t="n">
        <x:f>SUMIFS('Attempts'!$L$7:$L$102,'Attempts'!$B$7:$B$102,$B43)</x:f>
        <x:v>16</x:v>
      </x:c>
      <x:c r="P43" s="16" t="n">
        <x:f>SUMIFS('Attempts'!$I$7:$I$102,'Attempts'!$B$7:$B$102,$B43)</x:f>
        <x:v>16</x:v>
      </x:c>
      <x:c r="Q43" s="16" t="n">
        <x:f>SUMIFS('Attempts'!$K$7:$K$102,'Attempts'!$B$7:$B$102,$B43)</x:f>
        <x:v>154120</x:v>
      </x:c>
      <x:c r="R43" s="18" t="n">
        <x:f>SUMIFS('Attempts'!$O$7:$O$102,'Attempts'!$B$7:$B$102,$B43)</x:f>
        <x:v>1.649084</x:v>
      </x:c>
      <x:c r="S43" s="20" t="n">
        <x:f>SUMIFS('Attempts'!$P$7:$P$102,'Attempts'!$B$7:$B$102,$B43)</x:f>
        <x:v>12.940362148</x:v>
      </x:c>
      <x:c r="T43" s="2" t="str">
        <x:v>dreamina-seedance-2-5-260628</x:v>
      </x:c>
      <x:c r="U43" s="2" t="str">
        <x:v>480p (854x480)</x:v>
      </x:c>
      <x:c r="V43" s="2" t="str">
        <x:v>16:9</x:v>
      </x:c>
      <x:c r="W43" s="2" t="str"/>
    </x:row>
    <x:row r="44" ht="32" customHeight="1">
      <x:c r="A44" s="9" t="n">
        <x:v>38</x:v>
      </x:c>
      <x:c r="B44" s="9" t="str">
        <x:v>s09_c04</x:v>
      </x:c>
      <x:c r="C44" s="9" t="n">
        <x:v>9</x:v>
      </x:c>
      <x:c r="D44" s="23" t="str">
        <x:v>Separate old photograph, slipper joke and towel memory</x:v>
      </x:c>
      <x:c r="E44" s="17" t="n">
        <x:v>605</x:v>
      </x:c>
      <x:c r="F44" s="17" t="n">
        <x:v>24</x:v>
      </x:c>
      <x:c r="G44" s="17" t="n">
        <x:f>COUNTIFS('Attempts'!$B$7:$B$102,$B44)</x:f>
        <x:v>1</x:v>
      </x:c>
      <x:c r="H44" s="17" t="n">
        <x:f>COUNTIFS('Attempts'!$B$7:$B$102,$B44,'Attempts'!$D$7:$D$102,"succeeded")</x:f>
        <x:v>1</x:v>
      </x:c>
      <x:c r="I44" s="17" t="n">
        <x:f>COUNTIFS('Attempts'!$B$7:$B$102,$B44,'Attempts'!$D$7:$D$102,"failed")</x:f>
        <x:v>0</x:v>
      </x:c>
      <x:c r="J44" s="17" t="n">
        <x:f>COUNTIFS('Attempts'!$B$7:$B$102,$B44,'Attempts'!$D$7:$D$102,"rejected")</x:f>
        <x:v>0</x:v>
      </x:c>
      <x:c r="K44" s="17" t="n">
        <x:v>1</x:v>
      </x:c>
      <x:c r="L44" s="9" t="str">
        <x:v>take_01</x:v>
      </x:c>
      <x:c r="M44" s="9" t="str">
        <x:v>take_01</x:v>
      </x:c>
      <x:c r="N44" s="9" t="str">
        <x:v>take_01</x:v>
      </x:c>
      <x:c r="O44" s="17" t="n">
        <x:f>SUMIFS('Attempts'!$L$7:$L$102,'Attempts'!$B$7:$B$102,$B44)</x:f>
        <x:v>24</x:v>
      </x:c>
      <x:c r="P44" s="17" t="n">
        <x:f>SUMIFS('Attempts'!$I$7:$I$102,'Attempts'!$B$7:$B$102,$B44)</x:f>
        <x:v>24</x:v>
      </x:c>
      <x:c r="Q44" s="17" t="n">
        <x:f>SUMIFS('Attempts'!$K$7:$K$102,'Attempts'!$B$7:$B$102,$B44)</x:f>
        <x:v>230980</x:v>
      </x:c>
      <x:c r="R44" s="19" t="n">
        <x:f>SUMIFS('Attempts'!$O$7:$O$102,'Attempts'!$B$7:$B$102,$B44)</x:f>
        <x:v>2.471486</x:v>
      </x:c>
      <x:c r="S44" s="21" t="n">
        <x:f>SUMIFS('Attempts'!$P$7:$P$102,'Attempts'!$B$7:$B$102,$B44)</x:f>
        <x:v>19.393750642</x:v>
      </x:c>
      <x:c r="T44" s="9" t="str">
        <x:v>dreamina-seedance-2-5-260628</x:v>
      </x:c>
      <x:c r="U44" s="9" t="str">
        <x:v>480p (854x480)</x:v>
      </x:c>
      <x:c r="V44" s="9" t="str">
        <x:v>16:9</x:v>
      </x:c>
      <x:c r="W44" s="9" t="str"/>
    </x:row>
    <x:row r="45" ht="32" customHeight="1">
      <x:c r="A45" s="2" t="n">
        <x:v>39</x:v>
      </x:c>
      <x:c r="B45" s="2" t="str">
        <x:v>s09_c05</x:v>
      </x:c>
      <x:c r="C45" s="2" t="n">
        <x:v>9</x:v>
      </x:c>
      <x:c r="D45" s="22" t="str">
        <x:v>Harbour invitation leaves Chan an independent choice</x:v>
      </x:c>
      <x:c r="E45" s="16" t="n">
        <x:v>629</x:v>
      </x:c>
      <x:c r="F45" s="16" t="n">
        <x:v>11</x:v>
      </x:c>
      <x:c r="G45" s="16" t="n">
        <x:f>COUNTIFS('Attempts'!$B$7:$B$102,$B45)</x:f>
        <x:v>1</x:v>
      </x:c>
      <x:c r="H45" s="16" t="n">
        <x:f>COUNTIFS('Attempts'!$B$7:$B$102,$B45,'Attempts'!$D$7:$D$102,"succeeded")</x:f>
        <x:v>1</x:v>
      </x:c>
      <x:c r="I45" s="16" t="n">
        <x:f>COUNTIFS('Attempts'!$B$7:$B$102,$B45,'Attempts'!$D$7:$D$102,"failed")</x:f>
        <x:v>0</x:v>
      </x:c>
      <x:c r="J45" s="16" t="n">
        <x:f>COUNTIFS('Attempts'!$B$7:$B$102,$B45,'Attempts'!$D$7:$D$102,"rejected")</x:f>
        <x:v>0</x:v>
      </x:c>
      <x:c r="K45" s="16" t="n">
        <x:v>1</x:v>
      </x:c>
      <x:c r="L45" s="2" t="str">
        <x:v>take_01</x:v>
      </x:c>
      <x:c r="M45" s="2" t="str">
        <x:v>take_01</x:v>
      </x:c>
      <x:c r="N45" s="2" t="str">
        <x:v>take_01</x:v>
      </x:c>
      <x:c r="O45" s="16" t="n">
        <x:f>SUMIFS('Attempts'!$L$7:$L$102,'Attempts'!$B$7:$B$102,$B45)</x:f>
        <x:v>11</x:v>
      </x:c>
      <x:c r="P45" s="16" t="n">
        <x:f>SUMIFS('Attempts'!$I$7:$I$102,'Attempts'!$B$7:$B$102,$B45)</x:f>
        <x:v>11</x:v>
      </x:c>
      <x:c r="Q45" s="16" t="n">
        <x:f>SUMIFS('Attempts'!$K$7:$K$102,'Attempts'!$B$7:$B$102,$B45)</x:f>
        <x:v>106082</x:v>
      </x:c>
      <x:c r="R45" s="18" t="n">
        <x:f>SUMIFS('Attempts'!$O$7:$O$102,'Attempts'!$B$7:$B$102,$B45)</x:f>
        <x:v>1.1350774</x:v>
      </x:c>
      <x:c r="S45" s="20" t="n">
        <x:f>SUMIFS('Attempts'!$P$7:$P$102,'Attempts'!$B$7:$B$102,$B45)</x:f>
        <x:v>8.9069523578</x:v>
      </x:c>
      <x:c r="T45" s="2" t="str">
        <x:v>dreamina-seedance-2-5-260628</x:v>
      </x:c>
      <x:c r="U45" s="2" t="str">
        <x:v>480p (854x480)</x:v>
      </x:c>
      <x:c r="V45" s="2" t="str">
        <x:v>16:9</x:v>
      </x:c>
      <x:c r="W45" s="2" t="str"/>
    </x:row>
    <x:row r="46" ht="32" customHeight="1">
      <x:c r="A46" s="9" t="n">
        <x:v>40</x:v>
      </x:c>
      <x:c r="B46" s="9" t="str">
        <x:v>s10_c01</x:v>
      </x:c>
      <x:c r="C46" s="9" t="n">
        <x:v>10</x:v>
      </x:c>
      <x:c r="D46" s="23" t="str">
        <x:v>Listening game: tram, trolley and one-ear reaction</x:v>
      </x:c>
      <x:c r="E46" s="17" t="n">
        <x:v>640</x:v>
      </x:c>
      <x:c r="F46" s="17" t="n">
        <x:v>21</x:v>
      </x:c>
      <x:c r="G46" s="17" t="n">
        <x:f>COUNTIFS('Attempts'!$B$7:$B$102,$B46)</x:f>
        <x:v>1</x:v>
      </x:c>
      <x:c r="H46" s="17" t="n">
        <x:f>COUNTIFS('Attempts'!$B$7:$B$102,$B46,'Attempts'!$D$7:$D$102,"succeeded")</x:f>
        <x:v>1</x:v>
      </x:c>
      <x:c r="I46" s="17" t="n">
        <x:f>COUNTIFS('Attempts'!$B$7:$B$102,$B46,'Attempts'!$D$7:$D$102,"failed")</x:f>
        <x:v>0</x:v>
      </x:c>
      <x:c r="J46" s="17" t="n">
        <x:f>COUNTIFS('Attempts'!$B$7:$B$102,$B46,'Attempts'!$D$7:$D$102,"rejected")</x:f>
        <x:v>0</x:v>
      </x:c>
      <x:c r="K46" s="17" t="n">
        <x:v>1</x:v>
      </x:c>
      <x:c r="L46" s="9" t="str">
        <x:v>take_01</x:v>
      </x:c>
      <x:c r="M46" s="9" t="str">
        <x:v>take_01</x:v>
      </x:c>
      <x:c r="N46" s="9" t="str">
        <x:v>take_01</x:v>
      </x:c>
      <x:c r="O46" s="17" t="n">
        <x:f>SUMIFS('Attempts'!$L$7:$L$102,'Attempts'!$B$7:$B$102,$B46)</x:f>
        <x:v>21</x:v>
      </x:c>
      <x:c r="P46" s="17" t="n">
        <x:f>SUMIFS('Attempts'!$I$7:$I$102,'Attempts'!$B$7:$B$102,$B46)</x:f>
        <x:v>21</x:v>
      </x:c>
      <x:c r="Q46" s="17" t="n">
        <x:f>SUMIFS('Attempts'!$K$7:$K$102,'Attempts'!$B$7:$B$102,$B46)</x:f>
        <x:v>202157</x:v>
      </x:c>
      <x:c r="R46" s="19" t="n">
        <x:f>SUMIFS('Attempts'!$O$7:$O$102,'Attempts'!$B$7:$B$102,$B46)</x:f>
        <x:v>2.1630799</x:v>
      </x:c>
      <x:c r="S46" s="21" t="n">
        <x:f>SUMIFS('Attempts'!$P$7:$P$102,'Attempts'!$B$7:$B$102,$B46)</x:f>
        <x:v>16.973687975300003</x:v>
      </x:c>
      <x:c r="T46" s="9" t="str">
        <x:v>dreamina-seedance-2-5-260628</x:v>
      </x:c>
      <x:c r="U46" s="9" t="str">
        <x:v>480p (854x480)</x:v>
      </x:c>
      <x:c r="V46" s="9" t="str">
        <x:v>16:9</x:v>
      </x:c>
      <x:c r="W46" s="9" t="str"/>
    </x:row>
    <x:row r="47" ht="32" customHeight="1">
      <x:c r="A47" s="2" t="n">
        <x:v>41</x:v>
      </x:c>
      <x:c r="B47" s="2" t="str">
        <x:v>s10_c02</x:v>
      </x:c>
      <x:c r="C47" s="2" t="n">
        <x:v>10</x:v>
      </x:c>
      <x:c r="D47" s="22" t="str">
        <x:v>Ferry recording connects to Chan's former work</x:v>
      </x:c>
      <x:c r="E47" s="16" t="n">
        <x:v>661</x:v>
      </x:c>
      <x:c r="F47" s="16" t="n">
        <x:v>15</x:v>
      </x:c>
      <x:c r="G47" s="16" t="n">
        <x:f>COUNTIFS('Attempts'!$B$7:$B$102,$B47)</x:f>
        <x:v>1</x:v>
      </x:c>
      <x:c r="H47" s="16" t="n">
        <x:f>COUNTIFS('Attempts'!$B$7:$B$102,$B47,'Attempts'!$D$7:$D$102,"succeeded")</x:f>
        <x:v>1</x:v>
      </x:c>
      <x:c r="I47" s="16" t="n">
        <x:f>COUNTIFS('Attempts'!$B$7:$B$102,$B47,'Attempts'!$D$7:$D$102,"failed")</x:f>
        <x:v>0</x:v>
      </x:c>
      <x:c r="J47" s="16" t="n">
        <x:f>COUNTIFS('Attempts'!$B$7:$B$102,$B47,'Attempts'!$D$7:$D$102,"rejected")</x:f>
        <x:v>0</x:v>
      </x:c>
      <x:c r="K47" s="16" t="n">
        <x:v>1</x:v>
      </x:c>
      <x:c r="L47" s="2" t="str">
        <x:v>take_01</x:v>
      </x:c>
      <x:c r="M47" s="2" t="str">
        <x:v>take_01</x:v>
      </x:c>
      <x:c r="N47" s="2" t="str">
        <x:v>take_01</x:v>
      </x:c>
      <x:c r="O47" s="16" t="n">
        <x:f>SUMIFS('Attempts'!$L$7:$L$102,'Attempts'!$B$7:$B$102,$B47)</x:f>
        <x:v>15</x:v>
      </x:c>
      <x:c r="P47" s="16" t="n">
        <x:f>SUMIFS('Attempts'!$I$7:$I$102,'Attempts'!$B$7:$B$102,$B47)</x:f>
        <x:v>15</x:v>
      </x:c>
      <x:c r="Q47" s="16" t="n">
        <x:f>SUMIFS('Attempts'!$K$7:$K$102,'Attempts'!$B$7:$B$102,$B47)</x:f>
        <x:v>144512</x:v>
      </x:c>
      <x:c r="R47" s="18" t="n">
        <x:f>SUMIFS('Attempts'!$O$7:$O$102,'Attempts'!$B$7:$B$102,$B47)</x:f>
        <x:v>1.5462783999999998</x:v>
      </x:c>
      <x:c r="S47" s="20" t="n">
        <x:f>SUMIFS('Attempts'!$P$7:$P$102,'Attempts'!$B$7:$B$102,$B47)</x:f>
        <x:v>12.1336466048</x:v>
      </x:c>
      <x:c r="T47" s="2" t="str">
        <x:v>dreamina-seedance-2-5-260628</x:v>
      </x:c>
      <x:c r="U47" s="2" t="str">
        <x:v>480p (854x480)</x:v>
      </x:c>
      <x:c r="V47" s="2" t="str">
        <x:v>16:9</x:v>
      </x:c>
      <x:c r="W47" s="2" t="str"/>
    </x:row>
    <x:row r="48" ht="32" customHeight="1">
      <x:c r="A48" s="9" t="n">
        <x:v>42</x:v>
      </x:c>
      <x:c r="B48" s="9" t="str">
        <x:v>s10_c03</x:v>
      </x:c>
      <x:c r="C48" s="9" t="n">
        <x:v>10</x:v>
      </x:c>
      <x:c r="D48" s="23" t="str">
        <x:v>Home-toy joke opens into the harbour invitation</x:v>
      </x:c>
      <x:c r="E48" s="17" t="n">
        <x:v>676</x:v>
      </x:c>
      <x:c r="F48" s="17" t="n">
        <x:v>18</x:v>
      </x:c>
      <x:c r="G48" s="17" t="n">
        <x:f>COUNTIFS('Attempts'!$B$7:$B$102,$B48)</x:f>
        <x:v>1</x:v>
      </x:c>
      <x:c r="H48" s="17" t="n">
        <x:f>COUNTIFS('Attempts'!$B$7:$B$102,$B48,'Attempts'!$D$7:$D$102,"succeeded")</x:f>
        <x:v>1</x:v>
      </x:c>
      <x:c r="I48" s="17" t="n">
        <x:f>COUNTIFS('Attempts'!$B$7:$B$102,$B48,'Attempts'!$D$7:$D$102,"failed")</x:f>
        <x:v>0</x:v>
      </x:c>
      <x:c r="J48" s="17" t="n">
        <x:f>COUNTIFS('Attempts'!$B$7:$B$102,$B48,'Attempts'!$D$7:$D$102,"rejected")</x:f>
        <x:v>0</x:v>
      </x:c>
      <x:c r="K48" s="17" t="n">
        <x:v>1</x:v>
      </x:c>
      <x:c r="L48" s="9" t="str">
        <x:v>take_01</x:v>
      </x:c>
      <x:c r="M48" s="9" t="str">
        <x:v>take_01</x:v>
      </x:c>
      <x:c r="N48" s="9" t="str">
        <x:v>take_01</x:v>
      </x:c>
      <x:c r="O48" s="17" t="n">
        <x:f>SUMIFS('Attempts'!$L$7:$L$102,'Attempts'!$B$7:$B$102,$B48)</x:f>
        <x:v>18</x:v>
      </x:c>
      <x:c r="P48" s="17" t="n">
        <x:f>SUMIFS('Attempts'!$I$7:$I$102,'Attempts'!$B$7:$B$102,$B48)</x:f>
        <x:v>18</x:v>
      </x:c>
      <x:c r="Q48" s="17" t="n">
        <x:f>SUMIFS('Attempts'!$K$7:$K$102,'Attempts'!$B$7:$B$102,$B48)</x:f>
        <x:v>173335</x:v>
      </x:c>
      <x:c r="R48" s="19" t="n">
        <x:f>SUMIFS('Attempts'!$O$7:$O$102,'Attempts'!$B$7:$B$102,$B48)</x:f>
        <x:v>1.8546844999999998</x:v>
      </x:c>
      <x:c r="S48" s="21" t="n">
        <x:f>SUMIFS('Attempts'!$P$7:$P$102,'Attempts'!$B$7:$B$102,$B48)</x:f>
        <x:v>14.553709271499999</x:v>
      </x:c>
      <x:c r="T48" s="9" t="str">
        <x:v>dreamina-seedance-2-5-260628</x:v>
      </x:c>
      <x:c r="U48" s="9" t="str">
        <x:v>480p (854x480)</x:v>
      </x:c>
      <x:c r="V48" s="9" t="str">
        <x:v>16:9</x:v>
      </x:c>
      <x:c r="W48" s="9" t="str"/>
    </x:row>
    <x:row r="49" ht="32" customHeight="1">
      <x:c r="A49" s="2" t="n">
        <x:v>43</x:v>
      </x:c>
      <x:c r="B49" s="2" t="str">
        <x:v>s10_c04</x:v>
      </x:c>
      <x:c r="C49" s="2" t="n">
        <x:v>10</x:v>
      </x:c>
      <x:c r="D49" s="22" t="str">
        <x:v>Brief chosen pause; Tine matters; Chan signs up</x:v>
      </x:c>
      <x:c r="E49" s="16" t="n">
        <x:v>694</x:v>
      </x:c>
      <x:c r="F49" s="16" t="n">
        <x:v>22</x:v>
      </x:c>
      <x:c r="G49" s="16" t="n">
        <x:f>COUNTIFS('Attempts'!$B$7:$B$102,$B49)</x:f>
        <x:v>1</x:v>
      </x:c>
      <x:c r="H49" s="16" t="n">
        <x:f>COUNTIFS('Attempts'!$B$7:$B$102,$B49,'Attempts'!$D$7:$D$102,"succeeded")</x:f>
        <x:v>1</x:v>
      </x:c>
      <x:c r="I49" s="16" t="n">
        <x:f>COUNTIFS('Attempts'!$B$7:$B$102,$B49,'Attempts'!$D$7:$D$102,"failed")</x:f>
        <x:v>0</x:v>
      </x:c>
      <x:c r="J49" s="16" t="n">
        <x:f>COUNTIFS('Attempts'!$B$7:$B$102,$B49,'Attempts'!$D$7:$D$102,"rejected")</x:f>
        <x:v>0</x:v>
      </x:c>
      <x:c r="K49" s="16" t="n">
        <x:v>1</x:v>
      </x:c>
      <x:c r="L49" s="2" t="str">
        <x:v>take_01</x:v>
      </x:c>
      <x:c r="M49" s="2" t="str">
        <x:v>take_01</x:v>
      </x:c>
      <x:c r="N49" s="2" t="str">
        <x:v>take_01</x:v>
      </x:c>
      <x:c r="O49" s="16" t="n">
        <x:f>SUMIFS('Attempts'!$L$7:$L$102,'Attempts'!$B$7:$B$102,$B49)</x:f>
        <x:v>22</x:v>
      </x:c>
      <x:c r="P49" s="16" t="n">
        <x:f>SUMIFS('Attempts'!$I$7:$I$102,'Attempts'!$B$7:$B$102,$B49)</x:f>
        <x:v>22</x:v>
      </x:c>
      <x:c r="Q49" s="16" t="n">
        <x:f>SUMIFS('Attempts'!$K$7:$K$102,'Attempts'!$B$7:$B$102,$B49)</x:f>
        <x:v>211765</x:v>
      </x:c>
      <x:c r="R49" s="18" t="n">
        <x:f>SUMIFS('Attempts'!$O$7:$O$102,'Attempts'!$B$7:$B$102,$B49)</x:f>
        <x:v>2.2658855</x:v>
      </x:c>
      <x:c r="S49" s="20" t="n">
        <x:f>SUMIFS('Attempts'!$P$7:$P$102,'Attempts'!$B$7:$B$102,$B49)</x:f>
        <x:v>17.780403518500002</x:v>
      </x:c>
      <x:c r="T49" s="2" t="str">
        <x:v>dreamina-seedance-2-5-260628</x:v>
      </x:c>
      <x:c r="U49" s="2" t="str">
        <x:v>480p (854x480)</x:v>
      </x:c>
      <x:c r="V49" s="2" t="str">
        <x:v>16:9</x:v>
      </x:c>
      <x:c r="W49" s="2" t="str"/>
    </x:row>
    <x:row r="50" ht="32" customHeight="1">
      <x:c r="A50" s="9" t="n">
        <x:v>44</x:v>
      </x:c>
      <x:c r="B50" s="9" t="str">
        <x:v>s10_c05</x:v>
      </x:c>
      <x:c r="C50" s="9" t="n">
        <x:v>10</x:v>
      </x:c>
      <x:c r="D50" s="23" t="str">
        <x:v>Agree ferry arrival and meeting point; sleeping-paw button</x:v>
      </x:c>
      <x:c r="E50" s="17" t="n">
        <x:v>716</x:v>
      </x:c>
      <x:c r="F50" s="17" t="n">
        <x:v>14</x:v>
      </x:c>
      <x:c r="G50" s="17" t="n">
        <x:f>COUNTIFS('Attempts'!$B$7:$B$102,$B50)</x:f>
        <x:v>1</x:v>
      </x:c>
      <x:c r="H50" s="17" t="n">
        <x:f>COUNTIFS('Attempts'!$B$7:$B$102,$B50,'Attempts'!$D$7:$D$102,"succeeded")</x:f>
        <x:v>1</x:v>
      </x:c>
      <x:c r="I50" s="17" t="n">
        <x:f>COUNTIFS('Attempts'!$B$7:$B$102,$B50,'Attempts'!$D$7:$D$102,"failed")</x:f>
        <x:v>0</x:v>
      </x:c>
      <x:c r="J50" s="17" t="n">
        <x:f>COUNTIFS('Attempts'!$B$7:$B$102,$B50,'Attempts'!$D$7:$D$102,"rejected")</x:f>
        <x:v>0</x:v>
      </x:c>
      <x:c r="K50" s="17" t="n">
        <x:v>1</x:v>
      </x:c>
      <x:c r="L50" s="9" t="str">
        <x:v>take_01</x:v>
      </x:c>
      <x:c r="M50" s="9" t="str">
        <x:v>take_01</x:v>
      </x:c>
      <x:c r="N50" s="9" t="str">
        <x:v>take_01</x:v>
      </x:c>
      <x:c r="O50" s="17" t="n">
        <x:f>SUMIFS('Attempts'!$L$7:$L$102,'Attempts'!$B$7:$B$102,$B50)</x:f>
        <x:v>14</x:v>
      </x:c>
      <x:c r="P50" s="17" t="n">
        <x:f>SUMIFS('Attempts'!$I$7:$I$102,'Attempts'!$B$7:$B$102,$B50)</x:f>
        <x:v>14</x:v>
      </x:c>
      <x:c r="Q50" s="17" t="n">
        <x:f>SUMIFS('Attempts'!$K$7:$K$102,'Attempts'!$B$7:$B$102,$B50)</x:f>
        <x:v>134905</x:v>
      </x:c>
      <x:c r="R50" s="19" t="n">
        <x:f>SUMIFS('Attempts'!$O$7:$O$102,'Attempts'!$B$7:$B$102,$B50)</x:f>
        <x:v>1.4434835</x:v>
      </x:c>
      <x:c r="S50" s="21" t="n">
        <x:f>SUMIFS('Attempts'!$P$7:$P$102,'Attempts'!$B$7:$B$102,$B50)</x:f>
        <x:v>11.3270150245</x:v>
      </x:c>
      <x:c r="T50" s="9" t="str">
        <x:v>dreamina-seedance-2-5-260628</x:v>
      </x:c>
      <x:c r="U50" s="9" t="str">
        <x:v>480p (854x480)</x:v>
      </x:c>
      <x:c r="V50" s="9" t="str">
        <x:v>16:9</x:v>
      </x:c>
      <x:c r="W50" s="9" t="str"/>
    </x:row>
    <x:row r="51" ht="32" customHeight="1">
      <x:c r="A51" s="2" t="n">
        <x:v>45</x:v>
      </x:c>
      <x:c r="B51" s="2" t="str">
        <x:v>s11_c01</x:v>
      </x:c>
      <x:c r="C51" s="2" t="n">
        <x:v>11</x:v>
      </x:c>
      <x:c r="D51" s="22" t="str">
        <x:v>Independent evening: kettle, hat, packed bag and phone</x:v>
      </x:c>
      <x:c r="E51" s="16" t="n">
        <x:v>730</x:v>
      </x:c>
      <x:c r="F51" s="16" t="n">
        <x:v>24</x:v>
      </x:c>
      <x:c r="G51" s="16" t="n">
        <x:f>COUNTIFS('Attempts'!$B$7:$B$102,$B51)</x:f>
        <x:v>1</x:v>
      </x:c>
      <x:c r="H51" s="16" t="n">
        <x:f>COUNTIFS('Attempts'!$B$7:$B$102,$B51,'Attempts'!$D$7:$D$102,"succeeded")</x:f>
        <x:v>1</x:v>
      </x:c>
      <x:c r="I51" s="16" t="n">
        <x:f>COUNTIFS('Attempts'!$B$7:$B$102,$B51,'Attempts'!$D$7:$D$102,"failed")</x:f>
        <x:v>0</x:v>
      </x:c>
      <x:c r="J51" s="16" t="n">
        <x:f>COUNTIFS('Attempts'!$B$7:$B$102,$B51,'Attempts'!$D$7:$D$102,"rejected")</x:f>
        <x:v>0</x:v>
      </x:c>
      <x:c r="K51" s="16" t="n">
        <x:v>1</x:v>
      </x:c>
      <x:c r="L51" s="2" t="str">
        <x:v>take_01</x:v>
      </x:c>
      <x:c r="M51" s="2" t="str">
        <x:v>take_01</x:v>
      </x:c>
      <x:c r="N51" s="2" t="str">
        <x:v>take_01</x:v>
      </x:c>
      <x:c r="O51" s="16" t="n">
        <x:f>SUMIFS('Attempts'!$L$7:$L$102,'Attempts'!$B$7:$B$102,$B51)</x:f>
        <x:v>24</x:v>
      </x:c>
      <x:c r="P51" s="16" t="n">
        <x:f>SUMIFS('Attempts'!$I$7:$I$102,'Attempts'!$B$7:$B$102,$B51)</x:f>
        <x:v>24</x:v>
      </x:c>
      <x:c r="Q51" s="16" t="n">
        <x:f>SUMIFS('Attempts'!$K$7:$K$102,'Attempts'!$B$7:$B$102,$B51)</x:f>
        <x:v>230980</x:v>
      </x:c>
      <x:c r="R51" s="18" t="n">
        <x:f>SUMIFS('Attempts'!$O$7:$O$102,'Attempts'!$B$7:$B$102,$B51)</x:f>
        <x:v>2.471486</x:v>
      </x:c>
      <x:c r="S51" s="20" t="n">
        <x:f>SUMIFS('Attempts'!$P$7:$P$102,'Attempts'!$B$7:$B$102,$B51)</x:f>
        <x:v>19.393750642</x:v>
      </x:c>
      <x:c r="T51" s="2" t="str">
        <x:v>dreamina-seedance-2-5-260628</x:v>
      </x:c>
      <x:c r="U51" s="2" t="str">
        <x:v>480p (854x480)</x:v>
      </x:c>
      <x:c r="V51" s="2" t="str">
        <x:v>16:9</x:v>
      </x:c>
      <x:c r="W51" s="2" t="str"/>
    </x:row>
    <x:row r="52" ht="32" customHeight="1">
      <x:c r="A52" s="9" t="n">
        <x:v>46</x:v>
      </x:c>
      <x:c r="B52" s="9" t="str">
        <x:v>s11_c02</x:v>
      </x:c>
      <x:c r="C52" s="9" t="n">
        <x:v>11</x:v>
      </x:c>
      <x:c r="D52" s="23" t="str">
        <x:v>Saturday match on hat; Tine waits for Chan to settle</x:v>
      </x:c>
      <x:c r="E52" s="17" t="n">
        <x:v>754</x:v>
      </x:c>
      <x:c r="F52" s="17" t="n">
        <x:v>21</x:v>
      </x:c>
      <x:c r="G52" s="17" t="n">
        <x:f>COUNTIFS('Attempts'!$B$7:$B$102,$B52)</x:f>
        <x:v>1</x:v>
      </x:c>
      <x:c r="H52" s="17" t="n">
        <x:f>COUNTIFS('Attempts'!$B$7:$B$102,$B52,'Attempts'!$D$7:$D$102,"succeeded")</x:f>
        <x:v>1</x:v>
      </x:c>
      <x:c r="I52" s="17" t="n">
        <x:f>COUNTIFS('Attempts'!$B$7:$B$102,$B52,'Attempts'!$D$7:$D$102,"failed")</x:f>
        <x:v>0</x:v>
      </x:c>
      <x:c r="J52" s="17" t="n">
        <x:f>COUNTIFS('Attempts'!$B$7:$B$102,$B52,'Attempts'!$D$7:$D$102,"rejected")</x:f>
        <x:v>0</x:v>
      </x:c>
      <x:c r="K52" s="17" t="n">
        <x:v>1</x:v>
      </x:c>
      <x:c r="L52" s="9" t="str">
        <x:v>take_01</x:v>
      </x:c>
      <x:c r="M52" s="9" t="str">
        <x:v>take_01</x:v>
      </x:c>
      <x:c r="N52" s="9" t="str">
        <x:v>take_01</x:v>
      </x:c>
      <x:c r="O52" s="17" t="n">
        <x:f>SUMIFS('Attempts'!$L$7:$L$102,'Attempts'!$B$7:$B$102,$B52)</x:f>
        <x:v>21</x:v>
      </x:c>
      <x:c r="P52" s="17" t="n">
        <x:f>SUMIFS('Attempts'!$I$7:$I$102,'Attempts'!$B$7:$B$102,$B52)</x:f>
        <x:v>21</x:v>
      </x:c>
      <x:c r="Q52" s="17" t="n">
        <x:f>SUMIFS('Attempts'!$K$7:$K$102,'Attempts'!$B$7:$B$102,$B52)</x:f>
        <x:v>202157</x:v>
      </x:c>
      <x:c r="R52" s="19" t="n">
        <x:f>SUMIFS('Attempts'!$O$7:$O$102,'Attempts'!$B$7:$B$102,$B52)</x:f>
        <x:v>2.1630799</x:v>
      </x:c>
      <x:c r="S52" s="21" t="n">
        <x:f>SUMIFS('Attempts'!$P$7:$P$102,'Attempts'!$B$7:$B$102,$B52)</x:f>
        <x:v>16.973687975300003</x:v>
      </x:c>
      <x:c r="T52" s="9" t="str">
        <x:v>dreamina-seedance-2-5-260628</x:v>
      </x:c>
      <x:c r="U52" s="9" t="str">
        <x:v>480p (854x480)</x:v>
      </x:c>
      <x:c r="V52" s="9" t="str">
        <x:v>16:9</x:v>
      </x:c>
      <x:c r="W52" s="9" t="str"/>
    </x:row>
    <x:row r="53" ht="32" customHeight="1">
      <x:c r="A53" s="2" t="n">
        <x:v>47</x:v>
      </x:c>
      <x:c r="B53" s="2" t="str">
        <x:v>s12_c01</x:v>
      </x:c>
      <x:c r="C53" s="2" t="n">
        <x:v>12</x:v>
      </x:c>
      <x:c r="D53" s="22" t="str">
        <x:v>13:00 group check, bowl clip and short public walking route</x:v>
      </x:c>
      <x:c r="E53" s="16" t="n">
        <x:v>775</x:v>
      </x:c>
      <x:c r="F53" s="16" t="n">
        <x:v>15</x:v>
      </x:c>
      <x:c r="G53" s="16" t="n">
        <x:f>COUNTIFS('Attempts'!$B$7:$B$102,$B53)</x:f>
        <x:v>1</x:v>
      </x:c>
      <x:c r="H53" s="16" t="n">
        <x:f>COUNTIFS('Attempts'!$B$7:$B$102,$B53,'Attempts'!$D$7:$D$102,"succeeded")</x:f>
        <x:v>1</x:v>
      </x:c>
      <x:c r="I53" s="16" t="n">
        <x:f>COUNTIFS('Attempts'!$B$7:$B$102,$B53,'Attempts'!$D$7:$D$102,"failed")</x:f>
        <x:v>0</x:v>
      </x:c>
      <x:c r="J53" s="16" t="n">
        <x:f>COUNTIFS('Attempts'!$B$7:$B$102,$B53,'Attempts'!$D$7:$D$102,"rejected")</x:f>
        <x:v>0</x:v>
      </x:c>
      <x:c r="K53" s="16" t="n">
        <x:v>1</x:v>
      </x:c>
      <x:c r="L53" s="2" t="str">
        <x:v>take_01</x:v>
      </x:c>
      <x:c r="M53" s="2" t="str">
        <x:v>take_01</x:v>
      </x:c>
      <x:c r="N53" s="2" t="str">
        <x:v>take_01</x:v>
      </x:c>
      <x:c r="O53" s="16" t="n">
        <x:f>SUMIFS('Attempts'!$L$7:$L$102,'Attempts'!$B$7:$B$102,$B53)</x:f>
        <x:v>15</x:v>
      </x:c>
      <x:c r="P53" s="16" t="n">
        <x:f>SUMIFS('Attempts'!$I$7:$I$102,'Attempts'!$B$7:$B$102,$B53)</x:f>
        <x:v>15</x:v>
      </x:c>
      <x:c r="Q53" s="16" t="n">
        <x:f>SUMIFS('Attempts'!$K$7:$K$102,'Attempts'!$B$7:$B$102,$B53)</x:f>
        <x:v>144512</x:v>
      </x:c>
      <x:c r="R53" s="18" t="n">
        <x:f>SUMIFS('Attempts'!$O$7:$O$102,'Attempts'!$B$7:$B$102,$B53)</x:f>
        <x:v>1.5462783999999998</x:v>
      </x:c>
      <x:c r="S53" s="20" t="n">
        <x:f>SUMIFS('Attempts'!$P$7:$P$102,'Attempts'!$B$7:$B$102,$B53)</x:f>
        <x:v>12.1336466048</x:v>
      </x:c>
      <x:c r="T53" s="2" t="str">
        <x:v>dreamina-seedance-2-5-260628</x:v>
      </x:c>
      <x:c r="U53" s="2" t="str">
        <x:v>480p (854x480)</x:v>
      </x:c>
      <x:c r="V53" s="2" t="str">
        <x:v>16:9</x:v>
      </x:c>
      <x:c r="W53" s="2" t="str"/>
    </x:row>
    <x:row r="54" ht="32" customHeight="1">
      <x:c r="A54" s="9" t="n">
        <x:v>48</x:v>
      </x:c>
      <x:c r="B54" s="9" t="str">
        <x:v>s12_c02</x:v>
      </x:c>
      <x:c r="C54" s="9" t="n">
        <x:v>12</x:v>
      </x:c>
      <x:c r="D54" s="23" t="str">
        <x:v>Afternoon ferry child asks and offers a morning greeting</x:v>
      </x:c>
      <x:c r="E54" s="17" t="n">
        <x:v>790</x:v>
      </x:c>
      <x:c r="F54" s="17" t="n">
        <x:v>22</x:v>
      </x:c>
      <x:c r="G54" s="17" t="n">
        <x:f>COUNTIFS('Attempts'!$B$7:$B$102,$B54)</x:f>
        <x:v>4</x:v>
      </x:c>
      <x:c r="H54" s="17" t="n">
        <x:f>COUNTIFS('Attempts'!$B$7:$B$102,$B54,'Attempts'!$D$7:$D$102,"succeeded")</x:f>
        <x:v>1</x:v>
      </x:c>
      <x:c r="I54" s="17" t="n">
        <x:f>COUNTIFS('Attempts'!$B$7:$B$102,$B54,'Attempts'!$D$7:$D$102,"failed")</x:f>
        <x:v>2</x:v>
      </x:c>
      <x:c r="J54" s="17" t="n">
        <x:f>COUNTIFS('Attempts'!$B$7:$B$102,$B54,'Attempts'!$D$7:$D$102,"rejected")</x:f>
        <x:v>1</x:v>
      </x:c>
      <x:c r="K54" s="17" t="n">
        <x:v>4</x:v>
      </x:c>
      <x:c r="L54" s="9" t="str">
        <x:v>take_04</x:v>
      </x:c>
      <x:c r="M54" s="9" t="str">
        <x:v>take_04</x:v>
      </x:c>
      <x:c r="N54" s="9" t="str">
        <x:v>take_04</x:v>
      </x:c>
      <x:c r="O54" s="17" t="n">
        <x:f>SUMIFS('Attempts'!$L$7:$L$102,'Attempts'!$B$7:$B$102,$B54)</x:f>
        <x:v>22</x:v>
      </x:c>
      <x:c r="P54" s="17" t="n">
        <x:f>SUMIFS('Attempts'!$I$7:$I$102,'Attempts'!$B$7:$B$102,$B54)</x:f>
        <x:v>88</x:v>
      </x:c>
      <x:c r="Q54" s="17" t="n">
        <x:f>SUMIFS('Attempts'!$K$7:$K$102,'Attempts'!$B$7:$B$102,$B54)</x:f>
        <x:v>211765</x:v>
      </x:c>
      <x:c r="R54" s="19" t="n">
        <x:f>SUMIFS('Attempts'!$O$7:$O$102,'Attempts'!$B$7:$B$102,$B54)</x:f>
        <x:v>2.2658855</x:v>
      </x:c>
      <x:c r="S54" s="21" t="n">
        <x:f>SUMIFS('Attempts'!$P$7:$P$102,'Attempts'!$B$7:$B$102,$B54)</x:f>
        <x:v>17.780403518500002</x:v>
      </x:c>
      <x:c r="T54" s="9" t="str">
        <x:v>dreamina-seedance-2-5-260628</x:v>
      </x:c>
      <x:c r="U54" s="9" t="str">
        <x:v>480p (854x480)</x:v>
      </x:c>
      <x:c r="V54" s="9" t="str">
        <x:v>16:9</x:v>
      </x:c>
      <x:c r="W54" s="9" t="str">
        <x:v>One input privacy rejection and two output-video policy failures; take 04 succeeded.</x:v>
      </x:c>
    </x:row>
    <x:row r="55" ht="32" customHeight="1">
      <x:c r="A55" s="2" t="n">
        <x:v>49</x:v>
      </x:c>
      <x:c r="B55" s="2" t="str">
        <x:v>s12_c03</x:v>
      </x:c>
      <x:c r="C55" s="2" t="n">
        <x:v>12</x:v>
      </x:c>
      <x:c r="D55" s="22" t="str">
        <x:v>One eye opens; leaf temptation returns to Chan's pace</x:v>
      </x:c>
      <x:c r="E55" s="16" t="n">
        <x:v>812</x:v>
      </x:c>
      <x:c r="F55" s="16" t="n">
        <x:v>13</x:v>
      </x:c>
      <x:c r="G55" s="16" t="n">
        <x:f>COUNTIFS('Attempts'!$B$7:$B$102,$B55)</x:f>
        <x:v>1</x:v>
      </x:c>
      <x:c r="H55" s="16" t="n">
        <x:f>COUNTIFS('Attempts'!$B$7:$B$102,$B55,'Attempts'!$D$7:$D$102,"succeeded")</x:f>
        <x:v>1</x:v>
      </x:c>
      <x:c r="I55" s="16" t="n">
        <x:f>COUNTIFS('Attempts'!$B$7:$B$102,$B55,'Attempts'!$D$7:$D$102,"failed")</x:f>
        <x:v>0</x:v>
      </x:c>
      <x:c r="J55" s="16" t="n">
        <x:f>COUNTIFS('Attempts'!$B$7:$B$102,$B55,'Attempts'!$D$7:$D$102,"rejected")</x:f>
        <x:v>0</x:v>
      </x:c>
      <x:c r="K55" s="16" t="n">
        <x:v>1</x:v>
      </x:c>
      <x:c r="L55" s="2" t="str">
        <x:v>take_01</x:v>
      </x:c>
      <x:c r="M55" s="2" t="str">
        <x:v>take_01</x:v>
      </x:c>
      <x:c r="N55" s="2" t="str">
        <x:v>take_01</x:v>
      </x:c>
      <x:c r="O55" s="16" t="n">
        <x:f>SUMIFS('Attempts'!$L$7:$L$102,'Attempts'!$B$7:$B$102,$B55)</x:f>
        <x:v>13</x:v>
      </x:c>
      <x:c r="P55" s="16" t="n">
        <x:f>SUMIFS('Attempts'!$I$7:$I$102,'Attempts'!$B$7:$B$102,$B55)</x:f>
        <x:v>13</x:v>
      </x:c>
      <x:c r="Q55" s="16" t="n">
        <x:f>SUMIFS('Attempts'!$K$7:$K$102,'Attempts'!$B$7:$B$102,$B55)</x:f>
        <x:v>125297</x:v>
      </x:c>
      <x:c r="R55" s="18" t="n">
        <x:f>SUMIFS('Attempts'!$O$7:$O$102,'Attempts'!$B$7:$B$102,$B55)</x:f>
        <x:v>1.3406779</x:v>
      </x:c>
      <x:c r="S55" s="20" t="n">
        <x:f>SUMIFS('Attempts'!$P$7:$P$102,'Attempts'!$B$7:$B$102,$B55)</x:f>
        <x:v>10.5202994813</x:v>
      </x:c>
      <x:c r="T55" s="2" t="str">
        <x:v>dreamina-seedance-2-5-260628</x:v>
      </x:c>
      <x:c r="U55" s="2" t="str">
        <x:v>480p (854x480)</x:v>
      </x:c>
      <x:c r="V55" s="2" t="str">
        <x:v>16:9</x:v>
      </x:c>
      <x:c r="W55" s="2" t="str"/>
    </x:row>
    <x:row r="56" ht="32" customHeight="1">
      <x:c r="A56" s="9" t="n">
        <x:v>50</x:v>
      </x:c>
      <x:c r="B56" s="9" t="str">
        <x:v>s12_c04</x:v>
      </x:c>
      <x:c r="C56" s="9" t="n">
        <x:v>12</x:v>
      </x:c>
      <x:c r="D56" s="23" t="str">
        <x:v>Moored-ferry call, phone packed, cue and disembarkation</x:v>
      </x:c>
      <x:c r="E56" s="17" t="n">
        <x:v>825</x:v>
      </x:c>
      <x:c r="F56" s="17" t="n">
        <x:v>20</x:v>
      </x:c>
      <x:c r="G56" s="17" t="n">
        <x:f>COUNTIFS('Attempts'!$B$7:$B$102,$B56)</x:f>
        <x:v>1</x:v>
      </x:c>
      <x:c r="H56" s="17" t="n">
        <x:f>COUNTIFS('Attempts'!$B$7:$B$102,$B56,'Attempts'!$D$7:$D$102,"succeeded")</x:f>
        <x:v>1</x:v>
      </x:c>
      <x:c r="I56" s="17" t="n">
        <x:f>COUNTIFS('Attempts'!$B$7:$B$102,$B56,'Attempts'!$D$7:$D$102,"failed")</x:f>
        <x:v>0</x:v>
      </x:c>
      <x:c r="J56" s="17" t="n">
        <x:f>COUNTIFS('Attempts'!$B$7:$B$102,$B56,'Attempts'!$D$7:$D$102,"rejected")</x:f>
        <x:v>0</x:v>
      </x:c>
      <x:c r="K56" s="17" t="n">
        <x:v>1</x:v>
      </x:c>
      <x:c r="L56" s="9" t="str">
        <x:v>take_01</x:v>
      </x:c>
      <x:c r="M56" s="9" t="str">
        <x:v>take_01</x:v>
      </x:c>
      <x:c r="N56" s="9" t="str">
        <x:v>take_01</x:v>
      </x:c>
      <x:c r="O56" s="17" t="n">
        <x:f>SUMIFS('Attempts'!$L$7:$L$102,'Attempts'!$B$7:$B$102,$B56)</x:f>
        <x:v>20</x:v>
      </x:c>
      <x:c r="P56" s="17" t="n">
        <x:f>SUMIFS('Attempts'!$I$7:$I$102,'Attempts'!$B$7:$B$102,$B56)</x:f>
        <x:v>20</x:v>
      </x:c>
      <x:c r="Q56" s="17" t="n">
        <x:f>SUMIFS('Attempts'!$K$7:$K$102,'Attempts'!$B$7:$B$102,$B56)</x:f>
        <x:v>192550</x:v>
      </x:c>
      <x:c r="R56" s="19" t="n">
        <x:f>SUMIFS('Attempts'!$O$7:$O$102,'Attempts'!$B$7:$B$102,$B56)</x:f>
        <x:v>2.060285</x:v>
      </x:c>
      <x:c r="S56" s="21" t="n">
        <x:f>SUMIFS('Attempts'!$P$7:$P$102,'Attempts'!$B$7:$B$102,$B56)</x:f>
        <x:v>16.167056395</x:v>
      </x:c>
      <x:c r="T56" s="9" t="str">
        <x:v>dreamina-seedance-2-5-260628</x:v>
      </x:c>
      <x:c r="U56" s="9" t="str">
        <x:v>480p (854x480)</x:v>
      </x:c>
      <x:c r="V56" s="9" t="str">
        <x:v>16:9</x:v>
      </x:c>
      <x:c r="W56" s="9" t="str"/>
    </x:row>
    <x:row r="57" ht="32" customHeight="1">
      <x:c r="A57" s="2" t="n">
        <x:v>51</x:v>
      </x:c>
      <x:c r="B57" s="2" t="str">
        <x:v>s13_c01</x:v>
      </x:c>
      <x:c r="C57" s="2" t="n">
        <x:v>13</x:v>
      </x:c>
      <x:c r="D57" s="22" t="str">
        <x:v>Public forecourt routes bring both dogs into one frame</x:v>
      </x:c>
      <x:c r="E57" s="16" t="n">
        <x:v>845</x:v>
      </x:c>
      <x:c r="F57" s="16" t="n">
        <x:v>13</x:v>
      </x:c>
      <x:c r="G57" s="16" t="n">
        <x:f>COUNTIFS('Attempts'!$B$7:$B$102,$B57)</x:f>
        <x:v>2</x:v>
      </x:c>
      <x:c r="H57" s="16" t="n">
        <x:f>COUNTIFS('Attempts'!$B$7:$B$102,$B57,'Attempts'!$D$7:$D$102,"succeeded")</x:f>
        <x:v>2</x:v>
      </x:c>
      <x:c r="I57" s="16" t="n">
        <x:f>COUNTIFS('Attempts'!$B$7:$B$102,$B57,'Attempts'!$D$7:$D$102,"failed")</x:f>
        <x:v>0</x:v>
      </x:c>
      <x:c r="J57" s="16" t="n">
        <x:f>COUNTIFS('Attempts'!$B$7:$B$102,$B57,'Attempts'!$D$7:$D$102,"rejected")</x:f>
        <x:v>0</x:v>
      </x:c>
      <x:c r="K57" s="16" t="n">
        <x:v>1</x:v>
      </x:c>
      <x:c r="L57" s="2" t="str">
        <x:v>take_01</x:v>
      </x:c>
      <x:c r="M57" s="2" t="str">
        <x:v>take_02_mix01</x:v>
      </x:c>
      <x:c r="N57" s="2" t="str">
        <x:v>take_02</x:v>
      </x:c>
      <x:c r="O57" s="16" t="n">
        <x:f>SUMIFS('Attempts'!$L$7:$L$102,'Attempts'!$B$7:$B$102,$B57)</x:f>
        <x:v>26</x:v>
      </x:c>
      <x:c r="P57" s="16" t="n">
        <x:f>SUMIFS('Attempts'!$I$7:$I$102,'Attempts'!$B$7:$B$102,$B57)</x:f>
        <x:v>26</x:v>
      </x:c>
      <x:c r="Q57" s="16" t="n">
        <x:f>SUMIFS('Attempts'!$K$7:$K$102,'Attempts'!$B$7:$B$102,$B57)</x:f>
        <x:v>250594</x:v>
      </x:c>
      <x:c r="R57" s="18" t="n">
        <x:f>SUMIFS('Attempts'!$O$7:$O$102,'Attempts'!$B$7:$B$102,$B57)</x:f>
        <x:v>2.6813558</x:v>
      </x:c>
      <x:c r="S57" s="20" t="n">
        <x:f>SUMIFS('Attempts'!$P$7:$P$102,'Attempts'!$B$7:$B$102,$B57)</x:f>
        <x:v>21.0405989626</x:v>
      </x:c>
      <x:c r="T57" s="2" t="str">
        <x:v>dreamina-seedance-2-5-260628</x:v>
      </x:c>
      <x:c r="U57" s="2" t="str">
        <x:v>480p (854x480)</x:v>
      </x:c>
      <x:c r="V57" s="2" t="str">
        <x:v>16:9</x:v>
      </x:c>
      <x:c r="W57" s="2" t="str">
        <x:v>Dogs separated across forecourt. Local ambience replacement after take 02.</x:v>
      </x:c>
    </x:row>
    <x:row r="58" ht="32" customHeight="1">
      <x:c r="A58" s="9" t="n">
        <x:v>52</x:v>
      </x:c>
      <x:c r="B58" s="9" t="str">
        <x:v>s13_c02</x:v>
      </x:c>
      <x:c r="C58" s="9" t="n">
        <x:v>13</x:v>
      </x:c>
      <x:c r="D58" s="23" t="str">
        <x:v>Suitcase gap, tentative step and interrupted safe route</x:v>
      </x:c>
      <x:c r="E58" s="17" t="n">
        <x:v>858</x:v>
      </x:c>
      <x:c r="F58" s="17" t="n">
        <x:v>17</x:v>
      </x:c>
      <x:c r="G58" s="17" t="n">
        <x:f>COUNTIFS('Attempts'!$B$7:$B$102,$B58)</x:f>
        <x:v>1</x:v>
      </x:c>
      <x:c r="H58" s="17" t="n">
        <x:f>COUNTIFS('Attempts'!$B$7:$B$102,$B58,'Attempts'!$D$7:$D$102,"succeeded")</x:f>
        <x:v>1</x:v>
      </x:c>
      <x:c r="I58" s="17" t="n">
        <x:f>COUNTIFS('Attempts'!$B$7:$B$102,$B58,'Attempts'!$D$7:$D$102,"failed")</x:f>
        <x:v>0</x:v>
      </x:c>
      <x:c r="J58" s="17" t="n">
        <x:f>COUNTIFS('Attempts'!$B$7:$B$102,$B58,'Attempts'!$D$7:$D$102,"rejected")</x:f>
        <x:v>0</x:v>
      </x:c>
      <x:c r="K58" s="17" t="n">
        <x:v>1</x:v>
      </x:c>
      <x:c r="L58" s="9" t="str">
        <x:v>take_01</x:v>
      </x:c>
      <x:c r="M58" s="9" t="str">
        <x:v>take_01</x:v>
      </x:c>
      <x:c r="N58" s="9" t="str">
        <x:v>take_01</x:v>
      </x:c>
      <x:c r="O58" s="17" t="n">
        <x:f>SUMIFS('Attempts'!$L$7:$L$102,'Attempts'!$B$7:$B$102,$B58)</x:f>
        <x:v>17</x:v>
      </x:c>
      <x:c r="P58" s="17" t="n">
        <x:f>SUMIFS('Attempts'!$I$7:$I$102,'Attempts'!$B$7:$B$102,$B58)</x:f>
        <x:v>17</x:v>
      </x:c>
      <x:c r="Q58" s="17" t="n">
        <x:f>SUMIFS('Attempts'!$K$7:$K$102,'Attempts'!$B$7:$B$102,$B58)</x:f>
        <x:v>163727</x:v>
      </x:c>
      <x:c r="R58" s="19" t="n">
        <x:f>SUMIFS('Attempts'!$O$7:$O$102,'Attempts'!$B$7:$B$102,$B58)</x:f>
        <x:v>1.7518789</x:v>
      </x:c>
      <x:c r="S58" s="21" t="n">
        <x:f>SUMIFS('Attempts'!$P$7:$P$102,'Attempts'!$B$7:$B$102,$B58)</x:f>
        <x:v>13.7469937283</x:v>
      </x:c>
      <x:c r="T58" s="9" t="str">
        <x:v>dreamina-seedance-2-5-260628</x:v>
      </x:c>
      <x:c r="U58" s="9" t="str">
        <x:v>480p (854x480)</x:v>
      </x:c>
      <x:c r="V58" s="9" t="str">
        <x:v>16:9</x:v>
      </x:c>
      <x:c r="W58" s="9" t="str"/>
    </x:row>
    <x:row r="59" ht="32" customHeight="1">
      <x:c r="A59" s="2" t="n">
        <x:v>53</x:v>
      </x:c>
      <x:c r="B59" s="2" t="str">
        <x:v>s13_c03</x:v>
      </x:c>
      <x:c r="C59" s="2" t="n">
        <x:v>13</x:v>
      </x:c>
      <x:c r="D59" s="22" t="str">
        <x:v>Group turns inland; Tart clears route east; third near miss</x:v>
      </x:c>
      <x:c r="E59" s="16" t="n">
        <x:v>875</x:v>
      </x:c>
      <x:c r="F59" s="16" t="n">
        <x:v>17</x:v>
      </x:c>
      <x:c r="G59" s="16" t="n">
        <x:f>COUNTIFS('Attempts'!$B$7:$B$102,$B59)</x:f>
        <x:v>1</x:v>
      </x:c>
      <x:c r="H59" s="16" t="n">
        <x:f>COUNTIFS('Attempts'!$B$7:$B$102,$B59,'Attempts'!$D$7:$D$102,"succeeded")</x:f>
        <x:v>1</x:v>
      </x:c>
      <x:c r="I59" s="16" t="n">
        <x:f>COUNTIFS('Attempts'!$B$7:$B$102,$B59,'Attempts'!$D$7:$D$102,"failed")</x:f>
        <x:v>0</x:v>
      </x:c>
      <x:c r="J59" s="16" t="n">
        <x:f>COUNTIFS('Attempts'!$B$7:$B$102,$B59,'Attempts'!$D$7:$D$102,"rejected")</x:f>
        <x:v>0</x:v>
      </x:c>
      <x:c r="K59" s="16" t="n">
        <x:v>1</x:v>
      </x:c>
      <x:c r="L59" s="2" t="str">
        <x:v>take_01</x:v>
      </x:c>
      <x:c r="M59" s="2" t="str">
        <x:v>take_01</x:v>
      </x:c>
      <x:c r="N59" s="2" t="str">
        <x:v>take_01</x:v>
      </x:c>
      <x:c r="O59" s="16" t="n">
        <x:f>SUMIFS('Attempts'!$L$7:$L$102,'Attempts'!$B$7:$B$102,$B59)</x:f>
        <x:v>17</x:v>
      </x:c>
      <x:c r="P59" s="16" t="n">
        <x:f>SUMIFS('Attempts'!$I$7:$I$102,'Attempts'!$B$7:$B$102,$B59)</x:f>
        <x:v>17</x:v>
      </x:c>
      <x:c r="Q59" s="16" t="n">
        <x:f>SUMIFS('Attempts'!$K$7:$K$102,'Attempts'!$B$7:$B$102,$B59)</x:f>
        <x:v>163727</x:v>
      </x:c>
      <x:c r="R59" s="18" t="n">
        <x:f>SUMIFS('Attempts'!$O$7:$O$102,'Attempts'!$B$7:$B$102,$B59)</x:f>
        <x:v>1.7518789</x:v>
      </x:c>
      <x:c r="S59" s="20" t="n">
        <x:f>SUMIFS('Attempts'!$P$7:$P$102,'Attempts'!$B$7:$B$102,$B59)</x:f>
        <x:v>13.7469937283</x:v>
      </x:c>
      <x:c r="T59" s="2" t="str">
        <x:v>dreamina-seedance-2-5-260628</x:v>
      </x:c>
      <x:c r="U59" s="2" t="str">
        <x:v>480p (854x480)</x:v>
      </x:c>
      <x:c r="V59" s="2" t="str">
        <x:v>16:9</x:v>
      </x:c>
      <x:c r="W59" s="2" t="str"/>
    </x:row>
    <x:row r="60" ht="32" customHeight="1">
      <x:c r="A60" s="9" t="n">
        <x:v>54</x:v>
      </x:c>
      <x:c r="B60" s="9" t="str">
        <x:v>s13_c04</x:v>
      </x:c>
      <x:c r="C60" s="9" t="n">
        <x:v>13</x:v>
      </x:c>
      <x:c r="D60" s="23" t="str">
        <x:v>Water break carries the cut into the seating bay</x:v>
      </x:c>
      <x:c r="E60" s="17" t="n">
        <x:v>892</x:v>
      </x:c>
      <x:c r="F60" s="17" t="n">
        <x:v>8</x:v>
      </x:c>
      <x:c r="G60" s="17" t="n">
        <x:f>COUNTIFS('Attempts'!$B$7:$B$102,$B60)</x:f>
        <x:v>1</x:v>
      </x:c>
      <x:c r="H60" s="17" t="n">
        <x:f>COUNTIFS('Attempts'!$B$7:$B$102,$B60,'Attempts'!$D$7:$D$102,"succeeded")</x:f>
        <x:v>1</x:v>
      </x:c>
      <x:c r="I60" s="17" t="n">
        <x:f>COUNTIFS('Attempts'!$B$7:$B$102,$B60,'Attempts'!$D$7:$D$102,"failed")</x:f>
        <x:v>0</x:v>
      </x:c>
      <x:c r="J60" s="17" t="n">
        <x:f>COUNTIFS('Attempts'!$B$7:$B$102,$B60,'Attempts'!$D$7:$D$102,"rejected")</x:f>
        <x:v>0</x:v>
      </x:c>
      <x:c r="K60" s="17" t="n">
        <x:v>1</x:v>
      </x:c>
      <x:c r="L60" s="9" t="str">
        <x:v>take_01</x:v>
      </x:c>
      <x:c r="M60" s="9" t="str">
        <x:v>take_01</x:v>
      </x:c>
      <x:c r="N60" s="9" t="str">
        <x:v>take_01</x:v>
      </x:c>
      <x:c r="O60" s="17" t="n">
        <x:f>SUMIFS('Attempts'!$L$7:$L$102,'Attempts'!$B$7:$B$102,$B60)</x:f>
        <x:v>8</x:v>
      </x:c>
      <x:c r="P60" s="17" t="n">
        <x:f>SUMIFS('Attempts'!$I$7:$I$102,'Attempts'!$B$7:$B$102,$B60)</x:f>
        <x:v>8</x:v>
      </x:c>
      <x:c r="Q60" s="17" t="n">
        <x:f>SUMIFS('Attempts'!$K$7:$K$102,'Attempts'!$B$7:$B$102,$B60)</x:f>
        <x:v>77260</x:v>
      </x:c>
      <x:c r="R60" s="19" t="n">
        <x:f>SUMIFS('Attempts'!$O$7:$O$102,'Attempts'!$B$7:$B$102,$B60)</x:f>
        <x:v>0.826682</x:v>
      </x:c>
      <x:c r="S60" s="21" t="n">
        <x:f>SUMIFS('Attempts'!$P$7:$P$102,'Attempts'!$B$7:$B$102,$B60)</x:f>
        <x:v>6.486973654000001</x:v>
      </x:c>
      <x:c r="T60" s="9" t="str">
        <x:v>dreamina-seedance-2-5-260628</x:v>
      </x:c>
      <x:c r="U60" s="9" t="str">
        <x:v>480p (854x480)</x:v>
      </x:c>
      <x:c r="V60" s="9" t="str">
        <x:v>16:9</x:v>
      </x:c>
      <x:c r="W60" s="9" t="str"/>
    </x:row>
    <x:row r="61" ht="32" customHeight="1">
      <x:c r="A61" s="2" t="n">
        <x:v>55</x:v>
      </x:c>
      <x:c r="B61" s="2" t="str">
        <x:v>s14_c01</x:v>
      </x:c>
      <x:c r="C61" s="2" t="n">
        <x:v>14</x:v>
      </x:c>
      <x:c r="D61" s="22" t="str">
        <x:v>Shake anticipation, one drop, tissue and exaggerated wipe</x:v>
      </x:c>
      <x:c r="E61" s="16" t="n">
        <x:v>900</x:v>
      </x:c>
      <x:c r="F61" s="16" t="n">
        <x:v>18</x:v>
      </x:c>
      <x:c r="G61" s="16" t="n">
        <x:f>COUNTIFS('Attempts'!$B$7:$B$102,$B61)</x:f>
        <x:v>1</x:v>
      </x:c>
      <x:c r="H61" s="16" t="n">
        <x:f>COUNTIFS('Attempts'!$B$7:$B$102,$B61,'Attempts'!$D$7:$D$102,"succeeded")</x:f>
        <x:v>1</x:v>
      </x:c>
      <x:c r="I61" s="16" t="n">
        <x:f>COUNTIFS('Attempts'!$B$7:$B$102,$B61,'Attempts'!$D$7:$D$102,"failed")</x:f>
        <x:v>0</x:v>
      </x:c>
      <x:c r="J61" s="16" t="n">
        <x:f>COUNTIFS('Attempts'!$B$7:$B$102,$B61,'Attempts'!$D$7:$D$102,"rejected")</x:f>
        <x:v>0</x:v>
      </x:c>
      <x:c r="K61" s="16" t="n">
        <x:v>1</x:v>
      </x:c>
      <x:c r="L61" s="2" t="str">
        <x:v>take_01</x:v>
      </x:c>
      <x:c r="M61" s="2" t="str">
        <x:v>take_01</x:v>
      </x:c>
      <x:c r="N61" s="2" t="str">
        <x:v>take_01</x:v>
      </x:c>
      <x:c r="O61" s="16" t="n">
        <x:f>SUMIFS('Attempts'!$L$7:$L$102,'Attempts'!$B$7:$B$102,$B61)</x:f>
        <x:v>18</x:v>
      </x:c>
      <x:c r="P61" s="16" t="n">
        <x:f>SUMIFS('Attempts'!$I$7:$I$102,'Attempts'!$B$7:$B$102,$B61)</x:f>
        <x:v>18</x:v>
      </x:c>
      <x:c r="Q61" s="16" t="n">
        <x:f>SUMIFS('Attempts'!$K$7:$K$102,'Attempts'!$B$7:$B$102,$B61)</x:f>
        <x:v>173335</x:v>
      </x:c>
      <x:c r="R61" s="18" t="n">
        <x:f>SUMIFS('Attempts'!$O$7:$O$102,'Attempts'!$B$7:$B$102,$B61)</x:f>
        <x:v>1.8546844999999998</x:v>
      </x:c>
      <x:c r="S61" s="20" t="n">
        <x:f>SUMIFS('Attempts'!$P$7:$P$102,'Attempts'!$B$7:$B$102,$B61)</x:f>
        <x:v>14.553709271499999</x:v>
      </x:c>
      <x:c r="T61" s="2" t="str">
        <x:v>dreamina-seedance-2-5-260628</x:v>
      </x:c>
      <x:c r="U61" s="2" t="str">
        <x:v>480p (854x480)</x:v>
      </x:c>
      <x:c r="V61" s="2" t="str">
        <x:v>16:9</x:v>
      </x:c>
      <x:c r="W61" s="2" t="str"/>
    </x:row>
    <x:row r="62" ht="32" customHeight="1">
      <x:c r="A62" s="9" t="n">
        <x:v>56</x:v>
      </x:c>
      <x:c r="B62" s="9" t="str">
        <x:v>s14_c02</x:v>
      </x:c>
      <x:c r="C62" s="9" t="n">
        <x:v>14</x:v>
      </x:c>
      <x:c r="D62" s="23" t="str">
        <x:v>Horn changes Chan's expression; Tine turns back; May listens</x:v>
      </x:c>
      <x:c r="E62" s="17" t="n">
        <x:v>918</x:v>
      </x:c>
      <x:c r="F62" s="17" t="n">
        <x:v>22</x:v>
      </x:c>
      <x:c r="G62" s="17" t="n">
        <x:f>COUNTIFS('Attempts'!$B$7:$B$102,$B62)</x:f>
        <x:v>2</x:v>
      </x:c>
      <x:c r="H62" s="17" t="n">
        <x:f>COUNTIFS('Attempts'!$B$7:$B$102,$B62,'Attempts'!$D$7:$D$102,"succeeded")</x:f>
        <x:v>2</x:v>
      </x:c>
      <x:c r="I62" s="17" t="n">
        <x:f>COUNTIFS('Attempts'!$B$7:$B$102,$B62,'Attempts'!$D$7:$D$102,"failed")</x:f>
        <x:v>0</x:v>
      </x:c>
      <x:c r="J62" s="17" t="n">
        <x:f>COUNTIFS('Attempts'!$B$7:$B$102,$B62,'Attempts'!$D$7:$D$102,"rejected")</x:f>
        <x:v>0</x:v>
      </x:c>
      <x:c r="K62" s="17" t="n">
        <x:v>1</x:v>
      </x:c>
      <x:c r="L62" s="9" t="str">
        <x:v>take_01</x:v>
      </x:c>
      <x:c r="M62" s="9" t="str">
        <x:v>take_02</x:v>
      </x:c>
      <x:c r="N62" s="9" t="str">
        <x:v>take_02</x:v>
      </x:c>
      <x:c r="O62" s="17" t="n">
        <x:f>SUMIFS('Attempts'!$L$7:$L$102,'Attempts'!$B$7:$B$102,$B62)</x:f>
        <x:v>44</x:v>
      </x:c>
      <x:c r="P62" s="17" t="n">
        <x:f>SUMIFS('Attempts'!$I$7:$I$102,'Attempts'!$B$7:$B$102,$B62)</x:f>
        <x:v>44</x:v>
      </x:c>
      <x:c r="Q62" s="17" t="n">
        <x:f>SUMIFS('Attempts'!$K$7:$K$102,'Attempts'!$B$7:$B$102,$B62)</x:f>
        <x:v>423530</x:v>
      </x:c>
      <x:c r="R62" s="19" t="n">
        <x:f>SUMIFS('Attempts'!$O$7:$O$102,'Attempts'!$B$7:$B$102,$B62)</x:f>
        <x:v>4.531771</x:v>
      </x:c>
      <x:c r="S62" s="21" t="n">
        <x:f>SUMIFS('Attempts'!$P$7:$P$102,'Attempts'!$B$7:$B$102,$B62)</x:f>
        <x:v>35.560807037000004</x:v>
      </x:c>
      <x:c r="T62" s="9" t="str">
        <x:v>dreamina-seedance-2-5-260628</x:v>
      </x:c>
      <x:c r="U62" s="9" t="str">
        <x:v>480p (854x480)</x:v>
      </x:c>
      <x:c r="V62" s="9" t="str">
        <x:v>16:9</x:v>
      </x:c>
      <x:c r="W62" s="9" t="str">
        <x:v>May character identity revised.</x:v>
      </x:c>
    </x:row>
    <x:row r="63" ht="32" customHeight="1">
      <x:c r="A63" s="2" t="n">
        <x:v>57</x:v>
      </x:c>
      <x:c r="B63" s="2" t="str">
        <x:v>s14_c03</x:v>
      </x:c>
      <x:c r="C63" s="2" t="n">
        <x:v>14</x:v>
      </x:c>
      <x:c r="D63" s="22" t="str">
        <x:v>Shoulder in reach and group chooses to remain</x:v>
      </x:c>
      <x:c r="E63" s="16" t="n">
        <x:v>940</x:v>
      </x:c>
      <x:c r="F63" s="16" t="n">
        <x:v>12</x:v>
      </x:c>
      <x:c r="G63" s="16" t="n">
        <x:f>COUNTIFS('Attempts'!$B$7:$B$102,$B63)</x:f>
        <x:v>2</x:v>
      </x:c>
      <x:c r="H63" s="16" t="n">
        <x:f>COUNTIFS('Attempts'!$B$7:$B$102,$B63,'Attempts'!$D$7:$D$102,"succeeded")</x:f>
        <x:v>2</x:v>
      </x:c>
      <x:c r="I63" s="16" t="n">
        <x:f>COUNTIFS('Attempts'!$B$7:$B$102,$B63,'Attempts'!$D$7:$D$102,"failed")</x:f>
        <x:v>0</x:v>
      </x:c>
      <x:c r="J63" s="16" t="n">
        <x:f>COUNTIFS('Attempts'!$B$7:$B$102,$B63,'Attempts'!$D$7:$D$102,"rejected")</x:f>
        <x:v>0</x:v>
      </x:c>
      <x:c r="K63" s="16" t="n">
        <x:v>1</x:v>
      </x:c>
      <x:c r="L63" s="2" t="str">
        <x:v>take_01</x:v>
      </x:c>
      <x:c r="M63" s="2" t="str">
        <x:v>take_02</x:v>
      </x:c>
      <x:c r="N63" s="2" t="str">
        <x:v>take_02</x:v>
      </x:c>
      <x:c r="O63" s="16" t="n">
        <x:f>SUMIFS('Attempts'!$L$7:$L$102,'Attempts'!$B$7:$B$102,$B63)</x:f>
        <x:v>24</x:v>
      </x:c>
      <x:c r="P63" s="16" t="n">
        <x:f>SUMIFS('Attempts'!$I$7:$I$102,'Attempts'!$B$7:$B$102,$B63)</x:f>
        <x:v>24</x:v>
      </x:c>
      <x:c r="Q63" s="16" t="n">
        <x:f>SUMIFS('Attempts'!$K$7:$K$102,'Attempts'!$B$7:$B$102,$B63)</x:f>
        <x:v>231380</x:v>
      </x:c>
      <x:c r="R63" s="18" t="n">
        <x:f>SUMIFS('Attempts'!$O$7:$O$102,'Attempts'!$B$7:$B$102,$B63)</x:f>
        <x:v>2.475766</x:v>
      </x:c>
      <x:c r="S63" s="20" t="n">
        <x:f>SUMIFS('Attempts'!$P$7:$P$102,'Attempts'!$B$7:$B$102,$B63)</x:f>
        <x:v>19.427335802</x:v>
      </x:c>
      <x:c r="T63" s="2" t="str">
        <x:v>dreamina-seedance-2-5-260628</x:v>
      </x:c>
      <x:c r="U63" s="2" t="str">
        <x:v>480p (854x480)</x:v>
      </x:c>
      <x:c r="V63" s="2" t="str">
        <x:v>16:9</x:v>
      </x:c>
      <x:c r="W63" s="2" t="str">
        <x:v>Dog floor staging revised.</x:v>
      </x:c>
    </x:row>
    <x:row r="64" ht="32" customHeight="1">
      <x:c r="A64" s="9" t="n">
        <x:v>58</x:v>
      </x:c>
      <x:c r="B64" s="9" t="str">
        <x:v>s14_c04</x:v>
      </x:c>
      <x:c r="C64" s="9" t="n">
        <x:v>14</x:v>
      </x:c>
      <x:c r="D64" s="23" t="str">
        <x:v>Stationary call relocates meeting; open hand ends the beat</x:v>
      </x:c>
      <x:c r="E64" s="17" t="n">
        <x:v>952</x:v>
      </x:c>
      <x:c r="F64" s="17" t="n">
        <x:v>23</x:v>
      </x:c>
      <x:c r="G64" s="17" t="n">
        <x:f>COUNTIFS('Attempts'!$B$7:$B$102,$B64)</x:f>
        <x:v>1</x:v>
      </x:c>
      <x:c r="H64" s="17" t="n">
        <x:f>COUNTIFS('Attempts'!$B$7:$B$102,$B64,'Attempts'!$D$7:$D$102,"succeeded")</x:f>
        <x:v>1</x:v>
      </x:c>
      <x:c r="I64" s="17" t="n">
        <x:f>COUNTIFS('Attempts'!$B$7:$B$102,$B64,'Attempts'!$D$7:$D$102,"failed")</x:f>
        <x:v>0</x:v>
      </x:c>
      <x:c r="J64" s="17" t="n">
        <x:f>COUNTIFS('Attempts'!$B$7:$B$102,$B64,'Attempts'!$D$7:$D$102,"rejected")</x:f>
        <x:v>0</x:v>
      </x:c>
      <x:c r="K64" s="17" t="n">
        <x:v>1</x:v>
      </x:c>
      <x:c r="L64" s="9" t="str">
        <x:v>take_01</x:v>
      </x:c>
      <x:c r="M64" s="9" t="str">
        <x:v>take_01</x:v>
      </x:c>
      <x:c r="N64" s="9" t="str">
        <x:v>take_01</x:v>
      </x:c>
      <x:c r="O64" s="17" t="n">
        <x:f>SUMIFS('Attempts'!$L$7:$L$102,'Attempts'!$B$7:$B$102,$B64)</x:f>
        <x:v>23</x:v>
      </x:c>
      <x:c r="P64" s="17" t="n">
        <x:f>SUMIFS('Attempts'!$I$7:$I$102,'Attempts'!$B$7:$B$102,$B64)</x:f>
        <x:v>23</x:v>
      </x:c>
      <x:c r="Q64" s="17" t="n">
        <x:f>SUMIFS('Attempts'!$K$7:$K$102,'Attempts'!$B$7:$B$102,$B64)</x:f>
        <x:v>221372</x:v>
      </x:c>
      <x:c r="R64" s="19" t="n">
        <x:f>SUMIFS('Attempts'!$O$7:$O$102,'Attempts'!$B$7:$B$102,$B64)</x:f>
        <x:v>2.3686803999999997</x:v>
      </x:c>
      <x:c r="S64" s="21" t="n">
        <x:f>SUMIFS('Attempts'!$P$7:$P$102,'Attempts'!$B$7:$B$102,$B64)</x:f>
        <x:v>18.587035098799998</x:v>
      </x:c>
      <x:c r="T64" s="9" t="str">
        <x:v>dreamina-seedance-2-5-260628</x:v>
      </x:c>
      <x:c r="U64" s="9" t="str">
        <x:v>480p (854x480)</x:v>
      </x:c>
      <x:c r="V64" s="9" t="str">
        <x:v>16:9</x:v>
      </x:c>
      <x:c r="W64" s="9" t="str"/>
    </x:row>
    <x:row r="65" ht="32" customHeight="1">
      <x:c r="A65" s="2" t="n">
        <x:v>59</x:v>
      </x:c>
      <x:c r="B65" s="2" t="str">
        <x:v>s15_c01</x:v>
      </x:c>
      <x:c r="C65" s="2" t="n">
        <x:v>15</x:v>
      </x:c>
      <x:c r="D65" s="22" t="str">
        <x:v>Stationary phone away and guided return</x:v>
      </x:c>
      <x:c r="E65" s="16" t="n">
        <x:v>975</x:v>
      </x:c>
      <x:c r="F65" s="16" t="n">
        <x:v>12</x:v>
      </x:c>
      <x:c r="G65" s="16" t="n">
        <x:f>COUNTIFS('Attempts'!$B$7:$B$102,$B65)</x:f>
        <x:v>1</x:v>
      </x:c>
      <x:c r="H65" s="16" t="n">
        <x:f>COUNTIFS('Attempts'!$B$7:$B$102,$B65,'Attempts'!$D$7:$D$102,"succeeded")</x:f>
        <x:v>1</x:v>
      </x:c>
      <x:c r="I65" s="16" t="n">
        <x:f>COUNTIFS('Attempts'!$B$7:$B$102,$B65,'Attempts'!$D$7:$D$102,"failed")</x:f>
        <x:v>0</x:v>
      </x:c>
      <x:c r="J65" s="16" t="n">
        <x:f>COUNTIFS('Attempts'!$B$7:$B$102,$B65,'Attempts'!$D$7:$D$102,"rejected")</x:f>
        <x:v>0</x:v>
      </x:c>
      <x:c r="K65" s="16" t="n">
        <x:v>1</x:v>
      </x:c>
      <x:c r="L65" s="2" t="str">
        <x:v>take_01</x:v>
      </x:c>
      <x:c r="M65" s="2" t="str">
        <x:v>take_01</x:v>
      </x:c>
      <x:c r="N65" s="2" t="str">
        <x:v>take_01</x:v>
      </x:c>
      <x:c r="O65" s="16" t="n">
        <x:f>SUMIFS('Attempts'!$L$7:$L$102,'Attempts'!$B$7:$B$102,$B65)</x:f>
        <x:v>12</x:v>
      </x:c>
      <x:c r="P65" s="16" t="n">
        <x:f>SUMIFS('Attempts'!$I$7:$I$102,'Attempts'!$B$7:$B$102,$B65)</x:f>
        <x:v>12</x:v>
      </x:c>
      <x:c r="Q65" s="16" t="n">
        <x:f>SUMIFS('Attempts'!$K$7:$K$102,'Attempts'!$B$7:$B$102,$B65)</x:f>
        <x:v>115690</x:v>
      </x:c>
      <x:c r="R65" s="18" t="n">
        <x:f>SUMIFS('Attempts'!$O$7:$O$102,'Attempts'!$B$7:$B$102,$B65)</x:f>
        <x:v>1.237883</x:v>
      </x:c>
      <x:c r="S65" s="20" t="n">
        <x:f>SUMIFS('Attempts'!$P$7:$P$102,'Attempts'!$B$7:$B$102,$B65)</x:f>
        <x:v>9.713667901</x:v>
      </x:c>
      <x:c r="T65" s="2" t="str">
        <x:v>dreamina-seedance-2-5-260628</x:v>
      </x:c>
      <x:c r="U65" s="2" t="str">
        <x:v>480p (854x480)</x:v>
      </x:c>
      <x:c r="V65" s="2" t="str">
        <x:v>16:9</x:v>
      </x:c>
      <x:c r="W65" s="2" t="str"/>
    </x:row>
    <x:row r="66" ht="32" customHeight="1">
      <x:c r="A66" s="9" t="n">
        <x:v>60</x:v>
      </x:c>
      <x:c r="B66" s="9" t="str">
        <x:v>s15_c02</x:v>
      </x:c>
      <x:c r="C66" s="9" t="n">
        <x:v>15</x:v>
      </x:c>
      <x:c r="D66" s="23" t="str">
        <x:v>Narrow entrance, spoken help and suitcase clearance</x:v>
      </x:c>
      <x:c r="E66" s="17" t="n">
        <x:v>987</x:v>
      </x:c>
      <x:c r="F66" s="17" t="n">
        <x:v>22</x:v>
      </x:c>
      <x:c r="G66" s="17" t="n">
        <x:f>COUNTIFS('Attempts'!$B$7:$B$102,$B66)</x:f>
        <x:v>3</x:v>
      </x:c>
      <x:c r="H66" s="17" t="n">
        <x:f>COUNTIFS('Attempts'!$B$7:$B$102,$B66,'Attempts'!$D$7:$D$102,"succeeded")</x:f>
        <x:v>3</x:v>
      </x:c>
      <x:c r="I66" s="17" t="n">
        <x:f>COUNTIFS('Attempts'!$B$7:$B$102,$B66,'Attempts'!$D$7:$D$102,"failed")</x:f>
        <x:v>0</x:v>
      </x:c>
      <x:c r="J66" s="17" t="n">
        <x:f>COUNTIFS('Attempts'!$B$7:$B$102,$B66,'Attempts'!$D$7:$D$102,"rejected")</x:f>
        <x:v>0</x:v>
      </x:c>
      <x:c r="K66" s="17" t="n">
        <x:v>1</x:v>
      </x:c>
      <x:c r="L66" s="9" t="str">
        <x:v>take_01</x:v>
      </x:c>
      <x:c r="M66" s="9" t="str">
        <x:v>take_03</x:v>
      </x:c>
      <x:c r="N66" s="9" t="str">
        <x:v>take_03</x:v>
      </x:c>
      <x:c r="O66" s="17" t="n">
        <x:f>SUMIFS('Attempts'!$L$7:$L$102,'Attempts'!$B$7:$B$102,$B66)</x:f>
        <x:v>66</x:v>
      </x:c>
      <x:c r="P66" s="17" t="n">
        <x:f>SUMIFS('Attempts'!$I$7:$I$102,'Attempts'!$B$7:$B$102,$B66)</x:f>
        <x:v>66</x:v>
      </x:c>
      <x:c r="Q66" s="17" t="n">
        <x:f>SUMIFS('Attempts'!$K$7:$K$102,'Attempts'!$B$7:$B$102,$B66)</x:f>
        <x:v>635295</x:v>
      </x:c>
      <x:c r="R66" s="19" t="n">
        <x:f>SUMIFS('Attempts'!$O$7:$O$102,'Attempts'!$B$7:$B$102,$B66)</x:f>
        <x:v>6.7976565</x:v>
      </x:c>
      <x:c r="S66" s="21" t="n">
        <x:f>SUMIFS('Attempts'!$P$7:$P$102,'Attempts'!$B$7:$B$102,$B66)</x:f>
        <x:v>53.341210555500005</x:v>
      </x:c>
      <x:c r="T66" s="9" t="str">
        <x:v>dreamina-seedance-2-5-260628</x:v>
      </x:c>
      <x:c r="U66" s="9" t="str">
        <x:v>480p (854x480)</x:v>
      </x:c>
      <x:c r="V66" s="9" t="str">
        <x:v>16:9</x:v>
      </x:c>
      <x:c r="W66" s="9" t="str">
        <x:v>Open-air planter-gap geography revised twice.</x:v>
      </x:c>
    </x:row>
    <x:row r="67" ht="32" customHeight="1">
      <x:c r="A67" s="2" t="n">
        <x:v>61</x:v>
      </x:c>
      <x:c r="B67" s="2" t="str">
        <x:v>s15_c03</x:v>
      </x:c>
      <x:c r="C67" s="2" t="n">
        <x:v>15</x:v>
      </x:c>
      <x:c r="D67" s="22" t="str">
        <x:v>First sensory contact; task comes first; secure seating</x:v>
      </x:c>
      <x:c r="E67" s="16" t="n">
        <x:v>1009</x:v>
      </x:c>
      <x:c r="F67" s="16" t="n">
        <x:v>22</x:v>
      </x:c>
      <x:c r="G67" s="16" t="n">
        <x:f>COUNTIFS('Attempts'!$B$7:$B$102,$B67)</x:f>
        <x:v>1</x:v>
      </x:c>
      <x:c r="H67" s="16" t="n">
        <x:f>COUNTIFS('Attempts'!$B$7:$B$102,$B67,'Attempts'!$D$7:$D$102,"succeeded")</x:f>
        <x:v>1</x:v>
      </x:c>
      <x:c r="I67" s="16" t="n">
        <x:f>COUNTIFS('Attempts'!$B$7:$B$102,$B67,'Attempts'!$D$7:$D$102,"failed")</x:f>
        <x:v>0</x:v>
      </x:c>
      <x:c r="J67" s="16" t="n">
        <x:f>COUNTIFS('Attempts'!$B$7:$B$102,$B67,'Attempts'!$D$7:$D$102,"rejected")</x:f>
        <x:v>0</x:v>
      </x:c>
      <x:c r="K67" s="16" t="n">
        <x:v>1</x:v>
      </x:c>
      <x:c r="L67" s="2" t="str">
        <x:v>take_01</x:v>
      </x:c>
      <x:c r="M67" s="2" t="str">
        <x:v>take_01</x:v>
      </x:c>
      <x:c r="N67" s="2" t="str">
        <x:v>take_01</x:v>
      </x:c>
      <x:c r="O67" s="16" t="n">
        <x:f>SUMIFS('Attempts'!$L$7:$L$102,'Attempts'!$B$7:$B$102,$B67)</x:f>
        <x:v>22</x:v>
      </x:c>
      <x:c r="P67" s="16" t="n">
        <x:f>SUMIFS('Attempts'!$I$7:$I$102,'Attempts'!$B$7:$B$102,$B67)</x:f>
        <x:v>22</x:v>
      </x:c>
      <x:c r="Q67" s="16" t="n">
        <x:f>SUMIFS('Attempts'!$K$7:$K$102,'Attempts'!$B$7:$B$102,$B67)</x:f>
        <x:v>211765</x:v>
      </x:c>
      <x:c r="R67" s="18" t="n">
        <x:f>SUMIFS('Attempts'!$O$7:$O$102,'Attempts'!$B$7:$B$102,$B67)</x:f>
        <x:v>2.2658855</x:v>
      </x:c>
      <x:c r="S67" s="20" t="n">
        <x:f>SUMIFS('Attempts'!$P$7:$P$102,'Attempts'!$B$7:$B$102,$B67)</x:f>
        <x:v>17.780403518500002</x:v>
      </x:c>
      <x:c r="T67" s="2" t="str">
        <x:v>dreamina-seedance-2-5-260628</x:v>
      </x:c>
      <x:c r="U67" s="2" t="str">
        <x:v>480p (854x480)</x:v>
      </x:c>
      <x:c r="V67" s="2" t="str">
        <x:v>16:9</x:v>
      </x:c>
      <x:c r="W67" s="2" t="str"/>
    </x:row>
    <x:row r="68" ht="32" customHeight="1">
      <x:c r="A68" s="9" t="n">
        <x:v>62</x:v>
      </x:c>
      <x:c r="B68" s="9" t="str">
        <x:v>s15_c04</x:v>
      </x:c>
      <x:c r="C68" s="9" t="n">
        <x:v>15</x:v>
      </x:c>
      <x:c r="D68" s="23" t="str">
        <x:v>Harness fully off, then brown lead clipped; off-duty shake</x:v>
      </x:c>
      <x:c r="E68" s="17" t="n">
        <x:v>1031</x:v>
      </x:c>
      <x:c r="F68" s="17" t="n">
        <x:v>19</x:v>
      </x:c>
      <x:c r="G68" s="17" t="n">
        <x:f>COUNTIFS('Attempts'!$B$7:$B$102,$B68)</x:f>
        <x:v>1</x:v>
      </x:c>
      <x:c r="H68" s="17" t="n">
        <x:f>COUNTIFS('Attempts'!$B$7:$B$102,$B68,'Attempts'!$D$7:$D$102,"succeeded")</x:f>
        <x:v>1</x:v>
      </x:c>
      <x:c r="I68" s="17" t="n">
        <x:f>COUNTIFS('Attempts'!$B$7:$B$102,$B68,'Attempts'!$D$7:$D$102,"failed")</x:f>
        <x:v>0</x:v>
      </x:c>
      <x:c r="J68" s="17" t="n">
        <x:f>COUNTIFS('Attempts'!$B$7:$B$102,$B68,'Attempts'!$D$7:$D$102,"rejected")</x:f>
        <x:v>0</x:v>
      </x:c>
      <x:c r="K68" s="17" t="n">
        <x:v>1</x:v>
      </x:c>
      <x:c r="L68" s="9" t="str">
        <x:v>take_01</x:v>
      </x:c>
      <x:c r="M68" s="9" t="str">
        <x:v>take_01</x:v>
      </x:c>
      <x:c r="N68" s="9" t="str">
        <x:v>take_01</x:v>
      </x:c>
      <x:c r="O68" s="17" t="n">
        <x:f>SUMIFS('Attempts'!$L$7:$L$102,'Attempts'!$B$7:$B$102,$B68)</x:f>
        <x:v>19</x:v>
      </x:c>
      <x:c r="P68" s="17" t="n">
        <x:f>SUMIFS('Attempts'!$I$7:$I$102,'Attempts'!$B$7:$B$102,$B68)</x:f>
        <x:v>19</x:v>
      </x:c>
      <x:c r="Q68" s="17" t="n">
        <x:f>SUMIFS('Attempts'!$K$7:$K$102,'Attempts'!$B$7:$B$102,$B68)</x:f>
        <x:v>182942</x:v>
      </x:c>
      <x:c r="R68" s="19" t="n">
        <x:f>SUMIFS('Attempts'!$O$7:$O$102,'Attempts'!$B$7:$B$102,$B68)</x:f>
        <x:v>1.9574794</x:v>
      </x:c>
      <x:c r="S68" s="21" t="n">
        <x:f>SUMIFS('Attempts'!$P$7:$P$102,'Attempts'!$B$7:$B$102,$B68)</x:f>
        <x:v>15.3603408518</x:v>
      </x:c>
      <x:c r="T68" s="9" t="str">
        <x:v>dreamina-seedance-2-5-260628</x:v>
      </x:c>
      <x:c r="U68" s="9" t="str">
        <x:v>480p (854x480)</x:v>
      </x:c>
      <x:c r="V68" s="9" t="str">
        <x:v>16:9</x:v>
      </x:c>
      <x:c r="W68" s="9" t="str"/>
    </x:row>
    <x:row r="69" ht="32" customHeight="1">
      <x:c r="A69" s="2" t="n">
        <x:v>63</x:v>
      </x:c>
      <x:c r="B69" s="2" t="str">
        <x:v>s16_c01</x:v>
      </x:c>
      <x:c r="C69" s="2" t="n">
        <x:v>16</x:v>
      </x:c>
      <x:c r="D69" s="22" t="str">
        <x:v>Permission, curved approach and reciprocal sniffing</x:v>
      </x:c>
      <x:c r="E69" s="16" t="n">
        <x:v>1050</x:v>
      </x:c>
      <x:c r="F69" s="16" t="n">
        <x:v>18</x:v>
      </x:c>
      <x:c r="G69" s="16" t="n">
        <x:f>COUNTIFS('Attempts'!$B$7:$B$102,$B69)</x:f>
        <x:v>1</x:v>
      </x:c>
      <x:c r="H69" s="16" t="n">
        <x:f>COUNTIFS('Attempts'!$B$7:$B$102,$B69,'Attempts'!$D$7:$D$102,"succeeded")</x:f>
        <x:v>1</x:v>
      </x:c>
      <x:c r="I69" s="16" t="n">
        <x:f>COUNTIFS('Attempts'!$B$7:$B$102,$B69,'Attempts'!$D$7:$D$102,"failed")</x:f>
        <x:v>0</x:v>
      </x:c>
      <x:c r="J69" s="16" t="n">
        <x:f>COUNTIFS('Attempts'!$B$7:$B$102,$B69,'Attempts'!$D$7:$D$102,"rejected")</x:f>
        <x:v>0</x:v>
      </x:c>
      <x:c r="K69" s="16" t="n">
        <x:v>1</x:v>
      </x:c>
      <x:c r="L69" s="2" t="str">
        <x:v>take_01</x:v>
      </x:c>
      <x:c r="M69" s="2" t="str">
        <x:v>take_01</x:v>
      </x:c>
      <x:c r="N69" s="2" t="str">
        <x:v>take_01</x:v>
      </x:c>
      <x:c r="O69" s="16" t="n">
        <x:f>SUMIFS('Attempts'!$L$7:$L$102,'Attempts'!$B$7:$B$102,$B69)</x:f>
        <x:v>18</x:v>
      </x:c>
      <x:c r="P69" s="16" t="n">
        <x:f>SUMIFS('Attempts'!$I$7:$I$102,'Attempts'!$B$7:$B$102,$B69)</x:f>
        <x:v>18</x:v>
      </x:c>
      <x:c r="Q69" s="16" t="n">
        <x:f>SUMIFS('Attempts'!$K$7:$K$102,'Attempts'!$B$7:$B$102,$B69)</x:f>
        <x:v>173335</x:v>
      </x:c>
      <x:c r="R69" s="18" t="n">
        <x:f>SUMIFS('Attempts'!$O$7:$O$102,'Attempts'!$B$7:$B$102,$B69)</x:f>
        <x:v>1.8546844999999998</x:v>
      </x:c>
      <x:c r="S69" s="20" t="n">
        <x:f>SUMIFS('Attempts'!$P$7:$P$102,'Attempts'!$B$7:$B$102,$B69)</x:f>
        <x:v>14.553709271499999</x:v>
      </x:c>
      <x:c r="T69" s="2" t="str">
        <x:v>dreamina-seedance-2-5-260628</x:v>
      </x:c>
      <x:c r="U69" s="2" t="str">
        <x:v>480p (854x480)</x:v>
      </x:c>
      <x:c r="V69" s="2" t="str">
        <x:v>16:9</x:v>
      </x:c>
      <x:c r="W69" s="2" t="str"/>
    </x:row>
    <x:row r="70" ht="32" customHeight="1">
      <x:c r="A70" s="9" t="n">
        <x:v>64</x:v>
      </x:c>
      <x:c r="B70" s="9" t="str">
        <x:v>s16_c02</x:v>
      </x:c>
      <x:c r="C70" s="9" t="n">
        <x:v>16</x:v>
      </x:c>
      <x:c r="D70" s="23" t="str">
        <x:v>Tine waits; squeak invites Tart to the free toy end</x:v>
      </x:c>
      <x:c r="E70" s="17" t="n">
        <x:v>1068</x:v>
      </x:c>
      <x:c r="F70" s="17" t="n">
        <x:v>16</x:v>
      </x:c>
      <x:c r="G70" s="17" t="n">
        <x:f>COUNTIFS('Attempts'!$B$7:$B$102,$B70)</x:f>
        <x:v>2</x:v>
      </x:c>
      <x:c r="H70" s="17" t="n">
        <x:f>COUNTIFS('Attempts'!$B$7:$B$102,$B70,'Attempts'!$D$7:$D$102,"succeeded")</x:f>
        <x:v>2</x:v>
      </x:c>
      <x:c r="I70" s="17" t="n">
        <x:f>COUNTIFS('Attempts'!$B$7:$B$102,$B70,'Attempts'!$D$7:$D$102,"failed")</x:f>
        <x:v>0</x:v>
      </x:c>
      <x:c r="J70" s="17" t="n">
        <x:f>COUNTIFS('Attempts'!$B$7:$B$102,$B70,'Attempts'!$D$7:$D$102,"rejected")</x:f>
        <x:v>0</x:v>
      </x:c>
      <x:c r="K70" s="17" t="n">
        <x:v>1</x:v>
      </x:c>
      <x:c r="L70" s="9" t="str">
        <x:v>take_01</x:v>
      </x:c>
      <x:c r="M70" s="9" t="str">
        <x:v>take_02</x:v>
      </x:c>
      <x:c r="N70" s="9" t="str">
        <x:v>take_02</x:v>
      </x:c>
      <x:c r="O70" s="17" t="n">
        <x:f>SUMIFS('Attempts'!$L$7:$L$102,'Attempts'!$B$7:$B$102,$B70)</x:f>
        <x:v>32</x:v>
      </x:c>
      <x:c r="P70" s="17" t="n">
        <x:f>SUMIFS('Attempts'!$I$7:$I$102,'Attempts'!$B$7:$B$102,$B70)</x:f>
        <x:v>32</x:v>
      </x:c>
      <x:c r="Q70" s="17" t="n">
        <x:f>SUMIFS('Attempts'!$K$7:$K$102,'Attempts'!$B$7:$B$102,$B70)</x:f>
        <x:v>308240</x:v>
      </x:c>
      <x:c r="R70" s="19" t="n">
        <x:f>SUMIFS('Attempts'!$O$7:$O$102,'Attempts'!$B$7:$B$102,$B70)</x:f>
        <x:v>3.298168</x:v>
      </x:c>
      <x:c r="S70" s="21" t="n">
        <x:f>SUMIFS('Attempts'!$P$7:$P$102,'Attempts'!$B$7:$B$102,$B70)</x:f>
        <x:v>25.880724296</x:v>
      </x:c>
      <x:c r="T70" s="9" t="str">
        <x:v>dreamina-seedance-2-5-260628</x:v>
      </x:c>
      <x:c r="U70" s="9" t="str">
        <x:v>480p (854x480)</x:v>
      </x:c>
      <x:c r="V70" s="9" t="str">
        <x:v>16:9</x:v>
      </x:c>
      <x:c r="W70" s="9" t="str">
        <x:v>Dogs on floor, lead ownership and toy invitation revised.</x:v>
      </x:c>
    </x:row>
    <x:row r="71" ht="32" customHeight="1">
      <x:c r="A71" s="2" t="n">
        <x:v>65</x:v>
      </x:c>
      <x:c r="B71" s="2" t="str">
        <x:v>s16_c03</x:v>
      </x:c>
      <x:c r="C71" s="2" t="n">
        <x:v>16</x:v>
      </x:c>
      <x:c r="D71" s="22" t="str">
        <x:v>Accidental sit, returned toy, matching bows and ear gag</x:v>
      </x:c>
      <x:c r="E71" s="16" t="n">
        <x:v>1084</x:v>
      </x:c>
      <x:c r="F71" s="16" t="n">
        <x:v>20</x:v>
      </x:c>
      <x:c r="G71" s="16" t="n">
        <x:f>COUNTIFS('Attempts'!$B$7:$B$102,$B71)</x:f>
        <x:v>1</x:v>
      </x:c>
      <x:c r="H71" s="16" t="n">
        <x:f>COUNTIFS('Attempts'!$B$7:$B$102,$B71,'Attempts'!$D$7:$D$102,"succeeded")</x:f>
        <x:v>1</x:v>
      </x:c>
      <x:c r="I71" s="16" t="n">
        <x:f>COUNTIFS('Attempts'!$B$7:$B$102,$B71,'Attempts'!$D$7:$D$102,"failed")</x:f>
        <x:v>0</x:v>
      </x:c>
      <x:c r="J71" s="16" t="n">
        <x:f>COUNTIFS('Attempts'!$B$7:$B$102,$B71,'Attempts'!$D$7:$D$102,"rejected")</x:f>
        <x:v>0</x:v>
      </x:c>
      <x:c r="K71" s="16" t="n">
        <x:v>1</x:v>
      </x:c>
      <x:c r="L71" s="2" t="str">
        <x:v>take_01</x:v>
      </x:c>
      <x:c r="M71" s="2" t="str">
        <x:v>take_01</x:v>
      </x:c>
      <x:c r="N71" s="2" t="str">
        <x:v>take_01</x:v>
      </x:c>
      <x:c r="O71" s="16" t="n">
        <x:f>SUMIFS('Attempts'!$L$7:$L$102,'Attempts'!$B$7:$B$102,$B71)</x:f>
        <x:v>20</x:v>
      </x:c>
      <x:c r="P71" s="16" t="n">
        <x:f>SUMIFS('Attempts'!$I$7:$I$102,'Attempts'!$B$7:$B$102,$B71)</x:f>
        <x:v>20</x:v>
      </x:c>
      <x:c r="Q71" s="16" t="n">
        <x:f>SUMIFS('Attempts'!$K$7:$K$102,'Attempts'!$B$7:$B$102,$B71)</x:f>
        <x:v>192550</x:v>
      </x:c>
      <x:c r="R71" s="18" t="n">
        <x:f>SUMIFS('Attempts'!$O$7:$O$102,'Attempts'!$B$7:$B$102,$B71)</x:f>
        <x:v>2.060285</x:v>
      </x:c>
      <x:c r="S71" s="20" t="n">
        <x:f>SUMIFS('Attempts'!$P$7:$P$102,'Attempts'!$B$7:$B$102,$B71)</x:f>
        <x:v>16.167056395</x:v>
      </x:c>
      <x:c r="T71" s="2" t="str">
        <x:v>dreamina-seedance-2-5-260628</x:v>
      </x:c>
      <x:c r="U71" s="2" t="str">
        <x:v>480p (854x480)</x:v>
      </x:c>
      <x:c r="V71" s="2" t="str">
        <x:v>16:9</x:v>
      </x:c>
      <x:c r="W71" s="2" t="str"/>
    </x:row>
    <x:row r="72" ht="32" customHeight="1">
      <x:c r="A72" s="9" t="n">
        <x:v>66</x:v>
      </x:c>
      <x:c r="B72" s="9" t="str">
        <x:v>s16_c04</x:v>
      </x:c>
      <x:c r="C72" s="9" t="n">
        <x:v>16</x:v>
      </x:c>
      <x:c r="D72" s="23" t="str">
        <x:v>Humans hear generosity; keep dogs playing underneath</x:v>
      </x:c>
      <x:c r="E72" s="17" t="n">
        <x:v>1104</x:v>
      </x:c>
      <x:c r="F72" s="17" t="n">
        <x:v>15</x:v>
      </x:c>
      <x:c r="G72" s="17" t="n">
        <x:f>COUNTIFS('Attempts'!$B$7:$B$102,$B72)</x:f>
        <x:v>1</x:v>
      </x:c>
      <x:c r="H72" s="17" t="n">
        <x:f>COUNTIFS('Attempts'!$B$7:$B$102,$B72,'Attempts'!$D$7:$D$102,"succeeded")</x:f>
        <x:v>1</x:v>
      </x:c>
      <x:c r="I72" s="17" t="n">
        <x:f>COUNTIFS('Attempts'!$B$7:$B$102,$B72,'Attempts'!$D$7:$D$102,"failed")</x:f>
        <x:v>0</x:v>
      </x:c>
      <x:c r="J72" s="17" t="n">
        <x:f>COUNTIFS('Attempts'!$B$7:$B$102,$B72,'Attempts'!$D$7:$D$102,"rejected")</x:f>
        <x:v>0</x:v>
      </x:c>
      <x:c r="K72" s="17" t="n">
        <x:v>1</x:v>
      </x:c>
      <x:c r="L72" s="9" t="str">
        <x:v>take_01</x:v>
      </x:c>
      <x:c r="M72" s="9" t="str">
        <x:v>take_01</x:v>
      </x:c>
      <x:c r="N72" s="9" t="str">
        <x:v>take_01</x:v>
      </x:c>
      <x:c r="O72" s="17" t="n">
        <x:f>SUMIFS('Attempts'!$L$7:$L$102,'Attempts'!$B$7:$B$102,$B72)</x:f>
        <x:v>15</x:v>
      </x:c>
      <x:c r="P72" s="17" t="n">
        <x:f>SUMIFS('Attempts'!$I$7:$I$102,'Attempts'!$B$7:$B$102,$B72)</x:f>
        <x:v>15</x:v>
      </x:c>
      <x:c r="Q72" s="17" t="n">
        <x:f>SUMIFS('Attempts'!$K$7:$K$102,'Attempts'!$B$7:$B$102,$B72)</x:f>
        <x:v>144512</x:v>
      </x:c>
      <x:c r="R72" s="19" t="n">
        <x:f>SUMIFS('Attempts'!$O$7:$O$102,'Attempts'!$B$7:$B$102,$B72)</x:f>
        <x:v>1.5462783999999998</x:v>
      </x:c>
      <x:c r="S72" s="21" t="n">
        <x:f>SUMIFS('Attempts'!$P$7:$P$102,'Attempts'!$B$7:$B$102,$B72)</x:f>
        <x:v>12.1336466048</x:v>
      </x:c>
      <x:c r="T72" s="9" t="str">
        <x:v>dreamina-seedance-2-5-260628</x:v>
      </x:c>
      <x:c r="U72" s="9" t="str">
        <x:v>480p (854x480)</x:v>
      </x:c>
      <x:c r="V72" s="9" t="str">
        <x:v>16:9</x:v>
      </x:c>
      <x:c r="W72" s="9" t="str"/>
    </x:row>
    <x:row r="73" ht="32" customHeight="1">
      <x:c r="A73" s="2" t="n">
        <x:v>67</x:v>
      </x:c>
      <x:c r="B73" s="2" t="str">
        <x:v>s16_c05</x:v>
      </x:c>
      <x:c r="C73" s="2" t="n">
        <x:v>16</x:v>
      </x:c>
      <x:c r="D73" s="22" t="str">
        <x:v>May connects names, same print and Victoria origin</x:v>
      </x:c>
      <x:c r="E73" s="16" t="n">
        <x:v>1119</x:v>
      </x:c>
      <x:c r="F73" s="16" t="n">
        <x:v>24</x:v>
      </x:c>
      <x:c r="G73" s="16" t="n">
        <x:f>COUNTIFS('Attempts'!$B$7:$B$102,$B73)</x:f>
        <x:v>3</x:v>
      </x:c>
      <x:c r="H73" s="16" t="n">
        <x:f>COUNTIFS('Attempts'!$B$7:$B$102,$B73,'Attempts'!$D$7:$D$102,"succeeded")</x:f>
        <x:v>3</x:v>
      </x:c>
      <x:c r="I73" s="16" t="n">
        <x:f>COUNTIFS('Attempts'!$B$7:$B$102,$B73,'Attempts'!$D$7:$D$102,"failed")</x:f>
        <x:v>0</x:v>
      </x:c>
      <x:c r="J73" s="16" t="n">
        <x:f>COUNTIFS('Attempts'!$B$7:$B$102,$B73,'Attempts'!$D$7:$D$102,"rejected")</x:f>
        <x:v>0</x:v>
      </x:c>
      <x:c r="K73" s="16" t="n">
        <x:v>1</x:v>
      </x:c>
      <x:c r="L73" s="2" t="str">
        <x:v>take_01</x:v>
      </x:c>
      <x:c r="M73" s="2" t="str">
        <x:v>take_03</x:v>
      </x:c>
      <x:c r="N73" s="2" t="str">
        <x:v>take_03</x:v>
      </x:c>
      <x:c r="O73" s="16" t="n">
        <x:f>SUMIFS('Attempts'!$L$7:$L$102,'Attempts'!$B$7:$B$102,$B73)</x:f>
        <x:v>72</x:v>
      </x:c>
      <x:c r="P73" s="16" t="n">
        <x:f>SUMIFS('Attempts'!$I$7:$I$102,'Attempts'!$B$7:$B$102,$B73)</x:f>
        <x:v>72</x:v>
      </x:c>
      <x:c r="Q73" s="16" t="n">
        <x:f>SUMIFS('Attempts'!$K$7:$K$102,'Attempts'!$B$7:$B$102,$B73)</x:f>
        <x:v>692940</x:v>
      </x:c>
      <x:c r="R73" s="18" t="n">
        <x:f>SUMIFS('Attempts'!$O$7:$O$102,'Attempts'!$B$7:$B$102,$B73)</x:f>
        <x:v>7.414458</x:v>
      </x:c>
      <x:c r="S73" s="20" t="n">
        <x:f>SUMIFS('Attempts'!$P$7:$P$102,'Attempts'!$B$7:$B$102,$B73)</x:f>
        <x:v>58.181251926</x:v>
      </x:c>
      <x:c r="T73" s="2" t="str">
        <x:v>dreamina-seedance-2-5-260628</x:v>
      </x:c>
      <x:c r="U73" s="2" t="str">
        <x:v>480p (854x480)</x:v>
      </x:c>
      <x:c r="V73" s="2" t="str">
        <x:v>16:9</x:v>
      </x:c>
      <x:c r="W73" s="2" t="str">
        <x:v>Dogs on floor and reunion coverage revised twice.</x:v>
      </x:c>
    </x:row>
    <x:row r="74" ht="32" customHeight="1">
      <x:c r="A74" s="9" t="n">
        <x:v>68</x:v>
      </x:c>
      <x:c r="B74" s="9" t="str">
        <x:v>s16_c06</x:v>
      </x:c>
      <x:c r="C74" s="9" t="n">
        <x:v>16</x:v>
      </x:c>
      <x:c r="D74" s="23" t="str">
        <x:v>Describe puppy pose to Ah Ming; confirmation after behaviour</x:v>
      </x:c>
      <x:c r="E74" s="17" t="n">
        <x:v>1143</x:v>
      </x:c>
      <x:c r="F74" s="17" t="n">
        <x:v>20</x:v>
      </x:c>
      <x:c r="G74" s="17" t="n">
        <x:f>COUNTIFS('Attempts'!$B$7:$B$102,$B74)</x:f>
        <x:v>1</x:v>
      </x:c>
      <x:c r="H74" s="17" t="n">
        <x:f>COUNTIFS('Attempts'!$B$7:$B$102,$B74,'Attempts'!$D$7:$D$102,"succeeded")</x:f>
        <x:v>1</x:v>
      </x:c>
      <x:c r="I74" s="17" t="n">
        <x:f>COUNTIFS('Attempts'!$B$7:$B$102,$B74,'Attempts'!$D$7:$D$102,"failed")</x:f>
        <x:v>0</x:v>
      </x:c>
      <x:c r="J74" s="17" t="n">
        <x:f>COUNTIFS('Attempts'!$B$7:$B$102,$B74,'Attempts'!$D$7:$D$102,"rejected")</x:f>
        <x:v>0</x:v>
      </x:c>
      <x:c r="K74" s="17" t="n">
        <x:v>1</x:v>
      </x:c>
      <x:c r="L74" s="9" t="str">
        <x:v>take_01</x:v>
      </x:c>
      <x:c r="M74" s="9" t="str">
        <x:v>take_01</x:v>
      </x:c>
      <x:c r="N74" s="9" t="str">
        <x:v>take_01</x:v>
      </x:c>
      <x:c r="O74" s="17" t="n">
        <x:f>SUMIFS('Attempts'!$L$7:$L$102,'Attempts'!$B$7:$B$102,$B74)</x:f>
        <x:v>20</x:v>
      </x:c>
      <x:c r="P74" s="17" t="n">
        <x:f>SUMIFS('Attempts'!$I$7:$I$102,'Attempts'!$B$7:$B$102,$B74)</x:f>
        <x:v>20</x:v>
      </x:c>
      <x:c r="Q74" s="17" t="n">
        <x:f>SUMIFS('Attempts'!$K$7:$K$102,'Attempts'!$B$7:$B$102,$B74)</x:f>
        <x:v>192550</x:v>
      </x:c>
      <x:c r="R74" s="19" t="n">
        <x:f>SUMIFS('Attempts'!$O$7:$O$102,'Attempts'!$B$7:$B$102,$B74)</x:f>
        <x:v>2.060285</x:v>
      </x:c>
      <x:c r="S74" s="21" t="n">
        <x:f>SUMIFS('Attempts'!$P$7:$P$102,'Attempts'!$B$7:$B$102,$B74)</x:f>
        <x:v>16.167056395</x:v>
      </x:c>
      <x:c r="T74" s="9" t="str">
        <x:v>dreamina-seedance-2-5-260628</x:v>
      </x:c>
      <x:c r="U74" s="9" t="str">
        <x:v>480p (854x480)</x:v>
      </x:c>
      <x:c r="V74" s="9" t="str">
        <x:v>16:9</x:v>
      </x:c>
      <x:c r="W74" s="9" t="str"/>
    </x:row>
    <x:row r="75" ht="32" customHeight="1">
      <x:c r="A75" s="2" t="n">
        <x:v>69</x:v>
      </x:c>
      <x:c r="B75" s="2" t="str">
        <x:v>s16_c07</x:v>
      </x:c>
      <x:c r="C75" s="2" t="n">
        <x:v>16</x:v>
      </x:c>
      <x:c r="D75" s="22" t="str">
        <x:v>Chan chooses longer rest and makes room for family</x:v>
      </x:c>
      <x:c r="E75" s="16" t="n">
        <x:v>1163</x:v>
      </x:c>
      <x:c r="F75" s="16" t="n">
        <x:v>13</x:v>
      </x:c>
      <x:c r="G75" s="16" t="n">
        <x:f>COUNTIFS('Attempts'!$B$7:$B$102,$B75)</x:f>
        <x:v>2</x:v>
      </x:c>
      <x:c r="H75" s="16" t="n">
        <x:f>COUNTIFS('Attempts'!$B$7:$B$102,$B75,'Attempts'!$D$7:$D$102,"succeeded")</x:f>
        <x:v>2</x:v>
      </x:c>
      <x:c r="I75" s="16" t="n">
        <x:f>COUNTIFS('Attempts'!$B$7:$B$102,$B75,'Attempts'!$D$7:$D$102,"failed")</x:f>
        <x:v>0</x:v>
      </x:c>
      <x:c r="J75" s="16" t="n">
        <x:f>COUNTIFS('Attempts'!$B$7:$B$102,$B75,'Attempts'!$D$7:$D$102,"rejected")</x:f>
        <x:v>0</x:v>
      </x:c>
      <x:c r="K75" s="16" t="n">
        <x:v>1</x:v>
      </x:c>
      <x:c r="L75" s="2" t="str">
        <x:v>take_01</x:v>
      </x:c>
      <x:c r="M75" s="2" t="str">
        <x:v>take_02</x:v>
      </x:c>
      <x:c r="N75" s="2" t="str">
        <x:v>take_02</x:v>
      </x:c>
      <x:c r="O75" s="16" t="n">
        <x:f>SUMIFS('Attempts'!$L$7:$L$102,'Attempts'!$B$7:$B$102,$B75)</x:f>
        <x:v>26</x:v>
      </x:c>
      <x:c r="P75" s="16" t="n">
        <x:f>SUMIFS('Attempts'!$I$7:$I$102,'Attempts'!$B$7:$B$102,$B75)</x:f>
        <x:v>26</x:v>
      </x:c>
      <x:c r="Q75" s="16" t="n">
        <x:f>SUMIFS('Attempts'!$K$7:$K$102,'Attempts'!$B$7:$B$102,$B75)</x:f>
        <x:v>250594</x:v>
      </x:c>
      <x:c r="R75" s="18" t="n">
        <x:f>SUMIFS('Attempts'!$O$7:$O$102,'Attempts'!$B$7:$B$102,$B75)</x:f>
        <x:v>2.6813558</x:v>
      </x:c>
      <x:c r="S75" s="20" t="n">
        <x:f>SUMIFS('Attempts'!$P$7:$P$102,'Attempts'!$B$7:$B$102,$B75)</x:f>
        <x:v>21.0405989626</x:v>
      </x:c>
      <x:c r="T75" s="2" t="str">
        <x:v>dreamina-seedance-2-5-260628</x:v>
      </x:c>
      <x:c r="U75" s="2" t="str">
        <x:v>480p (854x480)</x:v>
      </x:c>
      <x:c r="V75" s="2" t="str">
        <x:v>16:9</x:v>
      </x:c>
      <x:c r="W75" s="2" t="str">
        <x:v>Character identity and group seating coverage revised.</x:v>
      </x:c>
    </x:row>
    <x:row r="76" ht="32" customHeight="1">
      <x:c r="A76" s="9" t="n">
        <x:v>70</x:v>
      </x:c>
      <x:c r="B76" s="9" t="str">
        <x:v>s16_c08</x:v>
      </x:c>
      <x:c r="C76" s="9" t="n">
        <x:v>16</x:v>
      </x:c>
      <x:c r="D76" s="23" t="str">
        <x:v>Offer room, settle into puppy pose; live harbour and brief fade</x:v>
      </x:c>
      <x:c r="E76" s="17" t="n">
        <x:v>1176</x:v>
      </x:c>
      <x:c r="F76" s="17" t="n">
        <x:v>24</x:v>
      </x:c>
      <x:c r="G76" s="17" t="n">
        <x:f>COUNTIFS('Attempts'!$B$7:$B$102,$B76)</x:f>
        <x:v>1</x:v>
      </x:c>
      <x:c r="H76" s="17" t="n">
        <x:f>COUNTIFS('Attempts'!$B$7:$B$102,$B76,'Attempts'!$D$7:$D$102,"succeeded")</x:f>
        <x:v>1</x:v>
      </x:c>
      <x:c r="I76" s="17" t="n">
        <x:f>COUNTIFS('Attempts'!$B$7:$B$102,$B76,'Attempts'!$D$7:$D$102,"failed")</x:f>
        <x:v>0</x:v>
      </x:c>
      <x:c r="J76" s="17" t="n">
        <x:f>COUNTIFS('Attempts'!$B$7:$B$102,$B76,'Attempts'!$D$7:$D$102,"rejected")</x:f>
        <x:v>0</x:v>
      </x:c>
      <x:c r="K76" s="17" t="n">
        <x:v>1</x:v>
      </x:c>
      <x:c r="L76" s="9" t="str">
        <x:v>take_01</x:v>
      </x:c>
      <x:c r="M76" s="9" t="str">
        <x:v>take_01</x:v>
      </x:c>
      <x:c r="N76" s="9" t="str">
        <x:v>take_01</x:v>
      </x:c>
      <x:c r="O76" s="17" t="n">
        <x:f>SUMIFS('Attempts'!$L$7:$L$102,'Attempts'!$B$7:$B$102,$B76)</x:f>
        <x:v>24</x:v>
      </x:c>
      <x:c r="P76" s="17" t="n">
        <x:f>SUMIFS('Attempts'!$I$7:$I$102,'Attempts'!$B$7:$B$102,$B76)</x:f>
        <x:v>24</x:v>
      </x:c>
      <x:c r="Q76" s="17" t="n">
        <x:f>SUMIFS('Attempts'!$K$7:$K$102,'Attempts'!$B$7:$B$102,$B76)</x:f>
        <x:v>230980</x:v>
      </x:c>
      <x:c r="R76" s="19" t="n">
        <x:f>SUMIFS('Attempts'!$O$7:$O$102,'Attempts'!$B$7:$B$102,$B76)</x:f>
        <x:v>2.471486</x:v>
      </x:c>
      <x:c r="S76" s="21" t="n">
        <x:f>SUMIFS('Attempts'!$P$7:$P$102,'Attempts'!$B$7:$B$102,$B76)</x:f>
        <x:v>19.393750642</x:v>
      </x:c>
      <x:c r="T76" s="9" t="str">
        <x:v>dreamina-seedance-2-5-260628</x:v>
      </x:c>
      <x:c r="U76" s="9" t="str">
        <x:v>480p (854x480)</x:v>
      </x:c>
      <x:c r="V76" s="9" t="str">
        <x:v>16:9</x:v>
      </x:c>
      <x:c r="W76" s="9" t="str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</x:sheetData>
  <x:conditionalFormatting sqref="G7:G76">
    <x:cfRule type="cellIs" dxfId="2" priority="1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" hidden="0" customWidth="1"/>
    <x:col min="2" max="2" width="13" hidden="0" customWidth="1"/>
    <x:col min="3" max="3" width="12" hidden="0" customWidth="1"/>
    <x:col min="4" max="4" width="12" hidden="0" customWidth="1"/>
    <x:col min="5" max="5" width="21" hidden="0" customWidth="1"/>
    <x:col min="6" max="6" width="22" hidden="0" customWidth="1"/>
    <x:col min="7" max="7" width="41" hidden="0" customWidth="1"/>
    <x:col min="8" max="8" width="12" hidden="0" customWidth="1"/>
    <x:col min="9" max="9" width="15" hidden="0" customWidth="1"/>
    <x:col min="10" max="10" width="15" hidden="0" customWidth="1"/>
    <x:col min="11" max="11" width="17" hidden="0" customWidth="1"/>
    <x:col min="12" max="12" width="15" hidden="0" customWidth="1"/>
    <x:col min="13" max="13" width="15" hidden="0" customWidth="1"/>
    <x:col min="14" max="14" width="21" hidden="0" customWidth="1"/>
    <x:col min="15" max="15" width="22" hidden="0" customWidth="1"/>
    <x:col min="16" max="16" width="21" hidden="0" customWidth="1"/>
    <x:col min="17" max="17" width="57" hidden="0" customWidth="1"/>
    <x:col min="18" max="18" width="32" hidden="0" customWidth="1"/>
    <x:col min="19" max="19" width="4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3" t="str">
        <x:v>dog-20261014 request 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4" t="str">
        <x:v>All requests, including failed and rejected submissions. Times shown in Hong Kong time (UTC+8).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50" customHeight="1">
      <x:c r="A6" s="8" t="str">
        <x:v>#</x:v>
      </x:c>
      <x:c r="B6" s="8" t="str">
        <x:v>Segment</x:v>
      </x:c>
      <x:c r="C6" s="8" t="str">
        <x:v>Take</x:v>
      </x:c>
      <x:c r="D6" s="8" t="str">
        <x:v>API result</x:v>
      </x:c>
      <x:c r="E6" s="8" t="str">
        <x:v>Use in final movie</x:v>
      </x:c>
      <x:c r="F6" s="8" t="str">
        <x:v>Recorded (HKT)</x:v>
      </x:c>
      <x:c r="G6" s="8" t="str">
        <x:v>Seedance model</x:v>
      </x:c>
      <x:c r="H6" s="8" t="str">
        <x:v>Resolution</x:v>
      </x:c>
      <x:c r="I6" s="8" t="str">
        <x:v>Requested duration (s)</x:v>
      </x:c>
      <x:c r="J6" s="8" t="str">
        <x:v>Native MP4 duration (s)</x:v>
      </x:c>
      <x:c r="K6" s="8" t="str">
        <x:v>Completion tokens</x:v>
      </x:c>
      <x:c r="L6" s="8" t="str">
        <x:v>Successful output (s)</x:v>
      </x:c>
      <x:c r="M6" s="8" t="str">
        <x:v>Reference video (s)</x:v>
      </x:c>
      <x:c r="N6" s="8" t="str">
        <x:v>Ledger estimate (USD)</x:v>
      </x:c>
      <x:c r="O6" s="8" t="str">
        <x:v>Calculated estimate (USD)</x:v>
      </x:c>
      <x:c r="P6" s="8" t="str">
        <x:v>Calculated estimate (HKD)</x:v>
      </x:c>
      <x:c r="Q6" s="8" t="str">
        <x:v>Provider error code</x:v>
      </x:c>
      <x:c r="R6" s="8" t="str">
        <x:v>Provider task ID</x:v>
      </x:c>
      <x:c r="S6" s="8" t="str">
        <x:v>Attempt ID</x:v>
      </x:c>
    </x:row>
    <x:row r="7" ht="22" customHeight="1">
      <x:c r="A7" s="2" t="n">
        <x:v>1</x:v>
      </x:c>
      <x:c r="B7" s="2" t="str">
        <x:v>s01_c01</x:v>
      </x:c>
      <x:c r="C7" s="2" t="str">
        <x:v>take_01</x:v>
      </x:c>
      <x:c r="D7" s="2" t="str">
        <x:v>succeeded</x:v>
      </x:c>
      <x:c r="E7" s="2" t="str">
        <x:v>Selected source</x:v>
      </x:c>
      <x:c r="F7" s="10" t="d">
        <x:v>2026-10-15T12:39:22.342Z</x:v>
      </x:c>
      <x:c r="G7" s="2" t="str">
        <x:v>dreamina-seedance-2-5-260628</x:v>
      </x:c>
      <x:c r="H7" s="2" t="str">
        <x:v>480p</x:v>
      </x:c>
      <x:c r="I7" s="12" t="n">
        <x:v>16</x:v>
      </x:c>
      <x:c r="J7" s="14" t="n">
        <x:v>16.06</x:v>
      </x:c>
      <x:c r="K7" s="16" t="n">
        <x:v>154120</x:v>
      </x:c>
      <x:c r="L7" s="16" t="n">
        <x:f>IF(D7="succeeded",I7,0)</x:f>
        <x:v>16</x:v>
      </x:c>
      <x:c r="M7" s="16" t="n">
        <x:v>0</x:v>
      </x:c>
      <x:c r="N7" s="18" t="n">
        <x:v>1.649084</x:v>
      </x:c>
      <x:c r="O7" s="18" t="n">
        <x:f>IF(D7="succeeded",K7*'Summary'!$F$5/'Summary'!$F$6,0)</x:f>
        <x:v>1.649084</x:v>
      </x:c>
      <x:c r="P7" s="20" t="n">
        <x:f>O7*'Summary'!$F$7</x:f>
        <x:v>12.940362148</x:v>
      </x:c>
      <x:c r="Q7" s="2" t="str"/>
      <x:c r="R7" s="2" t="str">
        <x:v>cgt-20261015123925-nwk0h</x:v>
      </x:c>
      <x:c r="S7" s="2" t="str">
        <x:v>attempt_b01de0fc5de145c69276e8274394a857</x:v>
      </x:c>
    </x:row>
    <x:row r="8" ht="22" customHeight="1">
      <x:c r="A8" s="9" t="n">
        <x:v>2</x:v>
      </x:c>
      <x:c r="B8" s="9" t="str">
        <x:v>s01_c02</x:v>
      </x:c>
      <x:c r="C8" s="9" t="str">
        <x:v>take_01</x:v>
      </x:c>
      <x:c r="D8" s="9" t="str">
        <x:v>succeeded</x:v>
      </x:c>
      <x:c r="E8" s="9" t="str">
        <x:v>Selected source</x:v>
      </x:c>
      <x:c r="F8" s="11" t="d">
        <x:v>2026-10-15T12:43:53.120Z</x:v>
      </x:c>
      <x:c r="G8" s="9" t="str">
        <x:v>dreamina-seedance-2-5-260628</x:v>
      </x:c>
      <x:c r="H8" s="9" t="str">
        <x:v>480p</x:v>
      </x:c>
      <x:c r="I8" s="13" t="n">
        <x:v>16</x:v>
      </x:c>
      <x:c r="J8" s="15" t="n">
        <x:v>16.06</x:v>
      </x:c>
      <x:c r="K8" s="17" t="n">
        <x:v>154120</x:v>
      </x:c>
      <x:c r="L8" s="17" t="n">
        <x:f>IF(D8="succeeded",I8,0)</x:f>
        <x:v>16</x:v>
      </x:c>
      <x:c r="M8" s="17" t="n">
        <x:v>0</x:v>
      </x:c>
      <x:c r="N8" s="19" t="n">
        <x:v>1.649084</x:v>
      </x:c>
      <x:c r="O8" s="19" t="n">
        <x:f>IF(D8="succeeded",K8*'Summary'!$F$5/'Summary'!$F$6,0)</x:f>
        <x:v>1.649084</x:v>
      </x:c>
      <x:c r="P8" s="21" t="n">
        <x:f>O8*'Summary'!$F$7</x:f>
        <x:v>12.940362148</x:v>
      </x:c>
      <x:c r="Q8" s="9" t="str"/>
      <x:c r="R8" s="9" t="str">
        <x:v>cgt-20261015124356-0n6az</x:v>
      </x:c>
      <x:c r="S8" s="9" t="str">
        <x:v>attempt_e5db48273dc648f483f2c6c6dfb9b18f</x:v>
      </x:c>
    </x:row>
    <x:row r="9" ht="22" customHeight="1">
      <x:c r="A9" s="2" t="n">
        <x:v>3</x:v>
      </x:c>
      <x:c r="B9" s="2" t="str">
        <x:v>s01_c03</x:v>
      </x:c>
      <x:c r="C9" s="2" t="str">
        <x:v>take_01</x:v>
      </x:c>
      <x:c r="D9" s="2" t="str">
        <x:v>succeeded</x:v>
      </x:c>
      <x:c r="E9" s="2" t="str">
        <x:v>Selected source</x:v>
      </x:c>
      <x:c r="F9" s="10" t="d">
        <x:v>2026-10-15T12:43:57.962Z</x:v>
      </x:c>
      <x:c r="G9" s="2" t="str">
        <x:v>dreamina-seedance-2-5-260628</x:v>
      </x:c>
      <x:c r="H9" s="2" t="str">
        <x:v>480p</x:v>
      </x:c>
      <x:c r="I9" s="12" t="n">
        <x:v>14</x:v>
      </x:c>
      <x:c r="J9" s="14" t="n">
        <x:v>14.08</x:v>
      </x:c>
      <x:c r="K9" s="16" t="n">
        <x:v>134905</x:v>
      </x:c>
      <x:c r="L9" s="16" t="n">
        <x:f>IF(D9="succeeded",I9,0)</x:f>
        <x:v>14</x:v>
      </x:c>
      <x:c r="M9" s="16" t="n">
        <x:v>0</x:v>
      </x:c>
      <x:c r="N9" s="18" t="n">
        <x:v>1.4434835</x:v>
      </x:c>
      <x:c r="O9" s="18" t="n">
        <x:f>IF(D9="succeeded",K9*'Summary'!$F$5/'Summary'!$F$6,0)</x:f>
        <x:v>1.4434835</x:v>
      </x:c>
      <x:c r="P9" s="20" t="n">
        <x:f>O9*'Summary'!$F$7</x:f>
        <x:v>11.3270150245</x:v>
      </x:c>
      <x:c r="Q9" s="2" t="str"/>
      <x:c r="R9" s="2" t="str">
        <x:v>cgt-20261015124401-bto4f</x:v>
      </x:c>
      <x:c r="S9" s="2" t="str">
        <x:v>attempt_5a1f607984284ae3913d8bbd7fe5c819</x:v>
      </x:c>
    </x:row>
    <x:row r="10" ht="22" customHeight="1">
      <x:c r="A10" s="9" t="n">
        <x:v>4</x:v>
      </x:c>
      <x:c r="B10" s="9" t="str">
        <x:v>s01_c04</x:v>
      </x:c>
      <x:c r="C10" s="9" t="str">
        <x:v>take_01</x:v>
      </x:c>
      <x:c r="D10" s="9" t="str">
        <x:v>succeeded</x:v>
      </x:c>
      <x:c r="E10" s="9" t="str">
        <x:v>Selected source</x:v>
      </x:c>
      <x:c r="F10" s="11" t="d">
        <x:v>2026-10-15T12:44:03.050Z</x:v>
      </x:c>
      <x:c r="G10" s="9" t="str">
        <x:v>dreamina-seedance-2-5-260628</x:v>
      </x:c>
      <x:c r="H10" s="9" t="str">
        <x:v>480p</x:v>
      </x:c>
      <x:c r="I10" s="13" t="n">
        <x:v>18</x:v>
      </x:c>
      <x:c r="J10" s="15" t="n">
        <x:v>18.08</x:v>
      </x:c>
      <x:c r="K10" s="17" t="n">
        <x:v>173335</x:v>
      </x:c>
      <x:c r="L10" s="17" t="n">
        <x:f>IF(D10="succeeded",I10,0)</x:f>
        <x:v>18</x:v>
      </x:c>
      <x:c r="M10" s="17" t="n">
        <x:v>0</x:v>
      </x:c>
      <x:c r="N10" s="19" t="n">
        <x:v>1.8546845</x:v>
      </x:c>
      <x:c r="O10" s="19" t="n">
        <x:f>IF(D10="succeeded",K10*'Summary'!$F$5/'Summary'!$F$6,0)</x:f>
        <x:v>1.8546844999999998</x:v>
      </x:c>
      <x:c r="P10" s="21" t="n">
        <x:f>O10*'Summary'!$F$7</x:f>
        <x:v>14.553709271499999</x:v>
      </x:c>
      <x:c r="Q10" s="9" t="str"/>
      <x:c r="R10" s="9" t="str">
        <x:v>cgt-20261015124406-qpsqw</x:v>
      </x:c>
      <x:c r="S10" s="9" t="str">
        <x:v>attempt_d6bc3cb2582644f4b0fe293970a42a91</x:v>
      </x:c>
    </x:row>
    <x:row r="11" ht="22" customHeight="1">
      <x:c r="A11" s="2" t="n">
        <x:v>5</x:v>
      </x:c>
      <x:c r="B11" s="2" t="str">
        <x:v>s01_c05</x:v>
      </x:c>
      <x:c r="C11" s="2" t="str">
        <x:v>take_01</x:v>
      </x:c>
      <x:c r="D11" s="2" t="str">
        <x:v>succeeded</x:v>
      </x:c>
      <x:c r="E11" s="2" t="str">
        <x:v>Selected source</x:v>
      </x:c>
      <x:c r="F11" s="10" t="d">
        <x:v>2026-10-15T12:44:10.040Z</x:v>
      </x:c>
      <x:c r="G11" s="2" t="str">
        <x:v>dreamina-seedance-2-5-260628</x:v>
      </x:c>
      <x:c r="H11" s="2" t="str">
        <x:v>480p</x:v>
      </x:c>
      <x:c r="I11" s="12" t="n">
        <x:v>21</x:v>
      </x:c>
      <x:c r="J11" s="14" t="n">
        <x:v>21.06</x:v>
      </x:c>
      <x:c r="K11" s="16" t="n">
        <x:v>202157</x:v>
      </x:c>
      <x:c r="L11" s="16" t="n">
        <x:f>IF(D11="succeeded",I11,0)</x:f>
        <x:v>21</x:v>
      </x:c>
      <x:c r="M11" s="16" t="n">
        <x:v>0</x:v>
      </x:c>
      <x:c r="N11" s="18" t="n">
        <x:v>2.1630799</x:v>
      </x:c>
      <x:c r="O11" s="18" t="n">
        <x:f>IF(D11="succeeded",K11*'Summary'!$F$5/'Summary'!$F$6,0)</x:f>
        <x:v>2.1630799</x:v>
      </x:c>
      <x:c r="P11" s="20" t="n">
        <x:f>O11*'Summary'!$F$7</x:f>
        <x:v>16.973687975300003</x:v>
      </x:c>
      <x:c r="Q11" s="2" t="str"/>
      <x:c r="R11" s="2" t="str">
        <x:v>cgt-20261015124413-ci4a2</x:v>
      </x:c>
      <x:c r="S11" s="2" t="str">
        <x:v>attempt_77bf74f1f3934a6f9145aba77adf4f97</x:v>
      </x:c>
    </x:row>
    <x:row r="12" ht="22" customHeight="1">
      <x:c r="A12" s="9" t="n">
        <x:v>6</x:v>
      </x:c>
      <x:c r="B12" s="9" t="str">
        <x:v>s02_c01</x:v>
      </x:c>
      <x:c r="C12" s="9" t="str">
        <x:v>take_01</x:v>
      </x:c>
      <x:c r="D12" s="9" t="str">
        <x:v>succeeded</x:v>
      </x:c>
      <x:c r="E12" s="9" t="str">
        <x:v>Selected source</x:v>
      </x:c>
      <x:c r="F12" s="11" t="d">
        <x:v>2026-10-15T12:47:27.945Z</x:v>
      </x:c>
      <x:c r="G12" s="9" t="str">
        <x:v>dreamina-seedance-2-5-260628</x:v>
      </x:c>
      <x:c r="H12" s="9" t="str">
        <x:v>480p</x:v>
      </x:c>
      <x:c r="I12" s="13" t="n">
        <x:v>18</x:v>
      </x:c>
      <x:c r="J12" s="15" t="n">
        <x:v>18.08</x:v>
      </x:c>
      <x:c r="K12" s="17" t="n">
        <x:v>173335</x:v>
      </x:c>
      <x:c r="L12" s="17" t="n">
        <x:f>IF(D12="succeeded",I12,0)</x:f>
        <x:v>18</x:v>
      </x:c>
      <x:c r="M12" s="17" t="n">
        <x:v>0</x:v>
      </x:c>
      <x:c r="N12" s="19" t="n">
        <x:v>1.8546845</x:v>
      </x:c>
      <x:c r="O12" s="19" t="n">
        <x:f>IF(D12="succeeded",K12*'Summary'!$F$5/'Summary'!$F$6,0)</x:f>
        <x:v>1.8546844999999998</x:v>
      </x:c>
      <x:c r="P12" s="21" t="n">
        <x:f>O12*'Summary'!$F$7</x:f>
        <x:v>14.553709271499999</x:v>
      </x:c>
      <x:c r="Q12" s="9" t="str"/>
      <x:c r="R12" s="9" t="str">
        <x:v>cgt-20261015124731-9dfwr</x:v>
      </x:c>
      <x:c r="S12" s="9" t="str">
        <x:v>attempt_95ce0ea7fa3e4cc18d469e166d1edf33</x:v>
      </x:c>
    </x:row>
    <x:row r="13" ht="22" customHeight="1">
      <x:c r="A13" s="2" t="n">
        <x:v>7</x:v>
      </x:c>
      <x:c r="B13" s="2" t="str">
        <x:v>s02_c02</x:v>
      </x:c>
      <x:c r="C13" s="2" t="str">
        <x:v>take_01</x:v>
      </x:c>
      <x:c r="D13" s="2" t="str">
        <x:v>succeeded</x:v>
      </x:c>
      <x:c r="E13" s="2" t="str">
        <x:v>Selected source</x:v>
      </x:c>
      <x:c r="F13" s="10" t="d">
        <x:v>2026-10-15T12:47:33.678Z</x:v>
      </x:c>
      <x:c r="G13" s="2" t="str">
        <x:v>dreamina-seedance-2-5-260628</x:v>
      </x:c>
      <x:c r="H13" s="2" t="str">
        <x:v>480p</x:v>
      </x:c>
      <x:c r="I13" s="12" t="n">
        <x:v>16</x:v>
      </x:c>
      <x:c r="J13" s="14" t="n">
        <x:v>16.06</x:v>
      </x:c>
      <x:c r="K13" s="16" t="n">
        <x:v>154120</x:v>
      </x:c>
      <x:c r="L13" s="16" t="n">
        <x:f>IF(D13="succeeded",I13,0)</x:f>
        <x:v>16</x:v>
      </x:c>
      <x:c r="M13" s="16" t="n">
        <x:v>0</x:v>
      </x:c>
      <x:c r="N13" s="18" t="n">
        <x:v>1.649084</x:v>
      </x:c>
      <x:c r="O13" s="18" t="n">
        <x:f>IF(D13="succeeded",K13*'Summary'!$F$5/'Summary'!$F$6,0)</x:f>
        <x:v>1.649084</x:v>
      </x:c>
      <x:c r="P13" s="20" t="n">
        <x:f>O13*'Summary'!$F$7</x:f>
        <x:v>12.940362148</x:v>
      </x:c>
      <x:c r="Q13" s="2" t="str"/>
      <x:c r="R13" s="2" t="str">
        <x:v>cgt-20261015124736-g9sdz</x:v>
      </x:c>
      <x:c r="S13" s="2" t="str">
        <x:v>attempt_e05644e79d5c4d46b2a4db25029faf19</x:v>
      </x:c>
    </x:row>
    <x:row r="14" ht="22" customHeight="1">
      <x:c r="A14" s="9" t="n">
        <x:v>8</x:v>
      </x:c>
      <x:c r="B14" s="9" t="str">
        <x:v>s02_c03</x:v>
      </x:c>
      <x:c r="C14" s="9" t="str">
        <x:v>take_01</x:v>
      </x:c>
      <x:c r="D14" s="9" t="str">
        <x:v>succeeded</x:v>
      </x:c>
      <x:c r="E14" s="9" t="str">
        <x:v>Superseded video</x:v>
      </x:c>
      <x:c r="F14" s="11" t="d">
        <x:v>2026-10-15T12:47:40.119Z</x:v>
      </x:c>
      <x:c r="G14" s="9" t="str">
        <x:v>dreamina-seedance-2-5-260628</x:v>
      </x:c>
      <x:c r="H14" s="9" t="str">
        <x:v>480p</x:v>
      </x:c>
      <x:c r="I14" s="13" t="n">
        <x:v>18</x:v>
      </x:c>
      <x:c r="J14" s="15" t="n">
        <x:v>18.08</x:v>
      </x:c>
      <x:c r="K14" s="17" t="n">
        <x:v>173335</x:v>
      </x:c>
      <x:c r="L14" s="17" t="n">
        <x:f>IF(D14="succeeded",I14,0)</x:f>
        <x:v>18</x:v>
      </x:c>
      <x:c r="M14" s="17" t="n">
        <x:v>0</x:v>
      </x:c>
      <x:c r="N14" s="19" t="n">
        <x:v>1.8546845</x:v>
      </x:c>
      <x:c r="O14" s="19" t="n">
        <x:f>IF(D14="succeeded",K14*'Summary'!$F$5/'Summary'!$F$6,0)</x:f>
        <x:v>1.8546844999999998</x:v>
      </x:c>
      <x:c r="P14" s="21" t="n">
        <x:f>O14*'Summary'!$F$7</x:f>
        <x:v>14.553709271499999</x:v>
      </x:c>
      <x:c r="Q14" s="9" t="str"/>
      <x:c r="R14" s="9" t="str">
        <x:v>cgt-20261015124743-maix2</x:v>
      </x:c>
      <x:c r="S14" s="9" t="str">
        <x:v>attempt_5c76d922c54844f3bd6aad52fd76b6cc</x:v>
      </x:c>
    </x:row>
    <x:row r="15" ht="22" customHeight="1">
      <x:c r="A15" s="2" t="n">
        <x:v>9</x:v>
      </x:c>
      <x:c r="B15" s="2" t="str">
        <x:v>s02_c03</x:v>
      </x:c>
      <x:c r="C15" s="2" t="str">
        <x:v>take_02</x:v>
      </x:c>
      <x:c r="D15" s="2" t="str">
        <x:v>succeeded</x:v>
      </x:c>
      <x:c r="E15" s="2" t="str">
        <x:v>Superseded video</x:v>
      </x:c>
      <x:c r="F15" s="10" t="d">
        <x:v>2026-10-15T12:58:23.850Z</x:v>
      </x:c>
      <x:c r="G15" s="2" t="str">
        <x:v>dreamina-seedance-2-5-260628</x:v>
      </x:c>
      <x:c r="H15" s="2" t="str">
        <x:v>480p</x:v>
      </x:c>
      <x:c r="I15" s="12" t="n">
        <x:v>18</x:v>
      </x:c>
      <x:c r="J15" s="14" t="n">
        <x:v>18.08</x:v>
      </x:c>
      <x:c r="K15" s="16" t="n">
        <x:v>173335</x:v>
      </x:c>
      <x:c r="L15" s="16" t="n">
        <x:f>IF(D15="succeeded",I15,0)</x:f>
        <x:v>18</x:v>
      </x:c>
      <x:c r="M15" s="16" t="n">
        <x:v>0</x:v>
      </x:c>
      <x:c r="N15" s="18" t="n">
        <x:v>1.8546845</x:v>
      </x:c>
      <x:c r="O15" s="18" t="n">
        <x:f>IF(D15="succeeded",K15*'Summary'!$F$5/'Summary'!$F$6,0)</x:f>
        <x:v>1.8546844999999998</x:v>
      </x:c>
      <x:c r="P15" s="20" t="n">
        <x:f>O15*'Summary'!$F$7</x:f>
        <x:v>14.553709271499999</x:v>
      </x:c>
      <x:c r="Q15" s="2" t="str"/>
      <x:c r="R15" s="2" t="str">
        <x:v>cgt-20261015125827-40l0a</x:v>
      </x:c>
      <x:c r="S15" s="2" t="str">
        <x:v>attempt_d9edec8bc644478f846c31f8a38bcd43</x:v>
      </x:c>
    </x:row>
    <x:row r="16" ht="22" customHeight="1">
      <x:c r="A16" s="9" t="n">
        <x:v>10</x:v>
      </x:c>
      <x:c r="B16" s="9" t="str">
        <x:v>s02_c03</x:v>
      </x:c>
      <x:c r="C16" s="9" t="str">
        <x:v>take_03</x:v>
      </x:c>
      <x:c r="D16" s="9" t="str">
        <x:v>failed</x:v>
      </x:c>
      <x:c r="E16" s="9" t="str">
        <x:v>No video</x:v>
      </x:c>
      <x:c r="F16" s="11" t="d">
        <x:v>2026-10-15T13:07:06.345Z</x:v>
      </x:c>
      <x:c r="G16" s="9" t="str">
        <x:v>dreamina-seedance-2-5-260628</x:v>
      </x:c>
      <x:c r="H16" s="9" t="str">
        <x:v>480p</x:v>
      </x:c>
      <x:c r="I16" s="13" t="n">
        <x:v>18</x:v>
      </x:c>
      <x:c r="J16" s="15"/>
      <x:c r="K16" s="17"/>
      <x:c r="L16" s="17" t="n">
        <x:f>IF(D16="succeeded",I16,0)</x:f>
        <x:v>0</x:v>
      </x:c>
      <x:c r="M16" s="17" t="n">
        <x:v>0</x:v>
      </x:c>
      <x:c r="N16" s="19" t="n">
        <x:v>0</x:v>
      </x:c>
      <x:c r="O16" s="19" t="n">
        <x:f>IF(D16="succeeded",K16*'Summary'!$F$5/'Summary'!$F$6,0)</x:f>
        <x:v>0</x:v>
      </x:c>
      <x:c r="P16" s="21" t="n">
        <x:f>O16*'Summary'!$F$7</x:f>
        <x:v>0</x:v>
      </x:c>
      <x:c r="Q16" s="9" t="str">
        <x:v>OutputAudioSensitiveContentDetected.PolicyViolation</x:v>
      </x:c>
      <x:c r="R16" s="9" t="str">
        <x:v>cgt-20261015130709-oxjgi</x:v>
      </x:c>
      <x:c r="S16" s="9" t="str">
        <x:v>attempt_84a14e5f9da74c25b34e96d297da637d</x:v>
      </x:c>
    </x:row>
    <x:row r="17" ht="22" customHeight="1">
      <x:c r="A17" s="2" t="n">
        <x:v>11</x:v>
      </x:c>
      <x:c r="B17" s="2" t="str">
        <x:v>s02_c03</x:v>
      </x:c>
      <x:c r="C17" s="2" t="str">
        <x:v>take_04</x:v>
      </x:c>
      <x:c r="D17" s="2" t="str">
        <x:v>succeeded</x:v>
      </x:c>
      <x:c r="E17" s="2" t="str">
        <x:v>Selected source</x:v>
      </x:c>
      <x:c r="F17" s="10" t="d">
        <x:v>2026-10-15T13:19:53.812Z</x:v>
      </x:c>
      <x:c r="G17" s="2" t="str">
        <x:v>dreamina-seedance-2-5-260628</x:v>
      </x:c>
      <x:c r="H17" s="2" t="str">
        <x:v>480p</x:v>
      </x:c>
      <x:c r="I17" s="12" t="n">
        <x:v>18</x:v>
      </x:c>
      <x:c r="J17" s="14" t="n">
        <x:v>18.08</x:v>
      </x:c>
      <x:c r="K17" s="16" t="n">
        <x:v>173335</x:v>
      </x:c>
      <x:c r="L17" s="16" t="n">
        <x:f>IF(D17="succeeded",I17,0)</x:f>
        <x:v>18</x:v>
      </x:c>
      <x:c r="M17" s="16" t="n">
        <x:v>0</x:v>
      </x:c>
      <x:c r="N17" s="18" t="n">
        <x:v>1.8546845</x:v>
      </x:c>
      <x:c r="O17" s="18" t="n">
        <x:f>IF(D17="succeeded",K17*'Summary'!$F$5/'Summary'!$F$6,0)</x:f>
        <x:v>1.8546844999999998</x:v>
      </x:c>
      <x:c r="P17" s="20" t="n">
        <x:f>O17*'Summary'!$F$7</x:f>
        <x:v>14.553709271499999</x:v>
      </x:c>
      <x:c r="Q17" s="2" t="str"/>
      <x:c r="R17" s="2" t="str">
        <x:v>cgt-20261015131957-rpprr</x:v>
      </x:c>
      <x:c r="S17" s="2" t="str">
        <x:v>attempt_e785f6fed2c94d94ad7e96aa9be9d0f4</x:v>
      </x:c>
    </x:row>
    <x:row r="18" ht="22" customHeight="1">
      <x:c r="A18" s="9" t="n">
        <x:v>12</x:v>
      </x:c>
      <x:c r="B18" s="9" t="str">
        <x:v>s02_c04</x:v>
      </x:c>
      <x:c r="C18" s="9" t="str">
        <x:v>take_01</x:v>
      </x:c>
      <x:c r="D18" s="9" t="str">
        <x:v>succeeded</x:v>
      </x:c>
      <x:c r="E18" s="9" t="str">
        <x:v>Selected source</x:v>
      </x:c>
      <x:c r="F18" s="11" t="d">
        <x:v>2026-10-15T12:48:28.503Z</x:v>
      </x:c>
      <x:c r="G18" s="9" t="str">
        <x:v>dreamina-seedance-2-5-260628</x:v>
      </x:c>
      <x:c r="H18" s="9" t="str">
        <x:v>480p</x:v>
      </x:c>
      <x:c r="I18" s="13" t="n">
        <x:v>8</x:v>
      </x:c>
      <x:c r="J18" s="15" t="n">
        <x:v>8.06</x:v>
      </x:c>
      <x:c r="K18" s="17" t="n">
        <x:v>77260</x:v>
      </x:c>
      <x:c r="L18" s="17" t="n">
        <x:f>IF(D18="succeeded",I18,0)</x:f>
        <x:v>8</x:v>
      </x:c>
      <x:c r="M18" s="17" t="n">
        <x:v>0</x:v>
      </x:c>
      <x:c r="N18" s="19" t="n">
        <x:v>0.826682</x:v>
      </x:c>
      <x:c r="O18" s="19" t="n">
        <x:f>IF(D18="succeeded",K18*'Summary'!$F$5/'Summary'!$F$6,0)</x:f>
        <x:v>0.826682</x:v>
      </x:c>
      <x:c r="P18" s="21" t="n">
        <x:f>O18*'Summary'!$F$7</x:f>
        <x:v>6.486973654000001</x:v>
      </x:c>
      <x:c r="Q18" s="9" t="str"/>
      <x:c r="R18" s="9" t="str">
        <x:v>cgt-20261015124831-v9yzb</x:v>
      </x:c>
      <x:c r="S18" s="9" t="str">
        <x:v>attempt_07782f470da64207b17f9d63c2138de4</x:v>
      </x:c>
    </x:row>
    <x:row r="19" ht="22" customHeight="1">
      <x:c r="A19" s="2" t="n">
        <x:v>13</x:v>
      </x:c>
      <x:c r="B19" s="2" t="str">
        <x:v>s03_c01</x:v>
      </x:c>
      <x:c r="C19" s="2" t="str">
        <x:v>take_01</x:v>
      </x:c>
      <x:c r="D19" s="2" t="str">
        <x:v>succeeded</x:v>
      </x:c>
      <x:c r="E19" s="2" t="str">
        <x:v>Superseded video</x:v>
      </x:c>
      <x:c r="F19" s="10" t="d">
        <x:v>2026-10-15T12:51:10.864Z</x:v>
      </x:c>
      <x:c r="G19" s="2" t="str">
        <x:v>dreamina-seedance-2-5-260628</x:v>
      </x:c>
      <x:c r="H19" s="2" t="str">
        <x:v>480p</x:v>
      </x:c>
      <x:c r="I19" s="12" t="n">
        <x:v>20</x:v>
      </x:c>
      <x:c r="J19" s="14" t="n">
        <x:v>20.06</x:v>
      </x:c>
      <x:c r="K19" s="16" t="n">
        <x:v>192550</x:v>
      </x:c>
      <x:c r="L19" s="16" t="n">
        <x:f>IF(D19="succeeded",I19,0)</x:f>
        <x:v>20</x:v>
      </x:c>
      <x:c r="M19" s="16" t="n">
        <x:v>0</x:v>
      </x:c>
      <x:c r="N19" s="18" t="n">
        <x:v>2.060285</x:v>
      </x:c>
      <x:c r="O19" s="18" t="n">
        <x:f>IF(D19="succeeded",K19*'Summary'!$F$5/'Summary'!$F$6,0)</x:f>
        <x:v>2.060285</x:v>
      </x:c>
      <x:c r="P19" s="20" t="n">
        <x:f>O19*'Summary'!$F$7</x:f>
        <x:v>16.167056395</x:v>
      </x:c>
      <x:c r="Q19" s="2" t="str"/>
      <x:c r="R19" s="2" t="str">
        <x:v>cgt-20261015125114-czpgw</x:v>
      </x:c>
      <x:c r="S19" s="2" t="str">
        <x:v>attempt_c7fbbd62e5624f8eb4259c9fc80af4fa</x:v>
      </x:c>
    </x:row>
    <x:row r="20" ht="22" customHeight="1">
      <x:c r="A20" s="9" t="n">
        <x:v>14</x:v>
      </x:c>
      <x:c r="B20" s="9" t="str">
        <x:v>s03_c01</x:v>
      </x:c>
      <x:c r="C20" s="9" t="str">
        <x:v>take_02</x:v>
      </x:c>
      <x:c r="D20" s="9" t="str">
        <x:v>succeeded</x:v>
      </x:c>
      <x:c r="E20" s="9" t="str">
        <x:v>Selected source</x:v>
      </x:c>
      <x:c r="F20" s="11" t="d">
        <x:v>2026-10-15T13:07:13.004Z</x:v>
      </x:c>
      <x:c r="G20" s="9" t="str">
        <x:v>dreamina-seedance-2-5-260628</x:v>
      </x:c>
      <x:c r="H20" s="9" t="str">
        <x:v>480p</x:v>
      </x:c>
      <x:c r="I20" s="13" t="n">
        <x:v>20</x:v>
      </x:c>
      <x:c r="J20" s="15" t="n">
        <x:v>20.06</x:v>
      </x:c>
      <x:c r="K20" s="17" t="n">
        <x:v>192550</x:v>
      </x:c>
      <x:c r="L20" s="17" t="n">
        <x:f>IF(D20="succeeded",I20,0)</x:f>
        <x:v>20</x:v>
      </x:c>
      <x:c r="M20" s="17" t="n">
        <x:v>0</x:v>
      </x:c>
      <x:c r="N20" s="19" t="n">
        <x:v>2.060285</x:v>
      </x:c>
      <x:c r="O20" s="19" t="n">
        <x:f>IF(D20="succeeded",K20*'Summary'!$F$5/'Summary'!$F$6,0)</x:f>
        <x:v>2.060285</x:v>
      </x:c>
      <x:c r="P20" s="21" t="n">
        <x:f>O20*'Summary'!$F$7</x:f>
        <x:v>16.167056395</x:v>
      </x:c>
      <x:c r="Q20" s="9" t="str"/>
      <x:c r="R20" s="9" t="str">
        <x:v>cgt-20261015130716-295mb</x:v>
      </x:c>
      <x:c r="S20" s="9" t="str">
        <x:v>attempt_6062c97fac704c40a5a5d827a99be527</x:v>
      </x:c>
    </x:row>
    <x:row r="21" ht="22" customHeight="1">
      <x:c r="A21" s="2" t="n">
        <x:v>15</x:v>
      </x:c>
      <x:c r="B21" s="2" t="str">
        <x:v>s03_c02</x:v>
      </x:c>
      <x:c r="C21" s="2" t="str">
        <x:v>take_01</x:v>
      </x:c>
      <x:c r="D21" s="2" t="str">
        <x:v>succeeded</x:v>
      </x:c>
      <x:c r="E21" s="2" t="str">
        <x:v>Superseded video</x:v>
      </x:c>
      <x:c r="F21" s="10" t="d">
        <x:v>2026-10-15T12:51:18.115Z</x:v>
      </x:c>
      <x:c r="G21" s="2" t="str">
        <x:v>dreamina-seedance-2-5-260628</x:v>
      </x:c>
      <x:c r="H21" s="2" t="str">
        <x:v>480p</x:v>
      </x:c>
      <x:c r="I21" s="12" t="n">
        <x:v>14</x:v>
      </x:c>
      <x:c r="J21" s="14" t="n">
        <x:v>14.08</x:v>
      </x:c>
      <x:c r="K21" s="16" t="n">
        <x:v>134905</x:v>
      </x:c>
      <x:c r="L21" s="16" t="n">
        <x:f>IF(D21="succeeded",I21,0)</x:f>
        <x:v>14</x:v>
      </x:c>
      <x:c r="M21" s="16" t="n">
        <x:v>0</x:v>
      </x:c>
      <x:c r="N21" s="18" t="n">
        <x:v>1.4434835</x:v>
      </x:c>
      <x:c r="O21" s="18" t="n">
        <x:f>IF(D21="succeeded",K21*'Summary'!$F$5/'Summary'!$F$6,0)</x:f>
        <x:v>1.4434835</x:v>
      </x:c>
      <x:c r="P21" s="20" t="n">
        <x:f>O21*'Summary'!$F$7</x:f>
        <x:v>11.3270150245</x:v>
      </x:c>
      <x:c r="Q21" s="2" t="str"/>
      <x:c r="R21" s="2" t="str">
        <x:v>cgt-20261015125121-m4lyu</x:v>
      </x:c>
      <x:c r="S21" s="2" t="str">
        <x:v>attempt_1d696e075dfa466bb8462f6e07d0254c</x:v>
      </x:c>
    </x:row>
    <x:row r="22" ht="22" customHeight="1">
      <x:c r="A22" s="9" t="n">
        <x:v>16</x:v>
      </x:c>
      <x:c r="B22" s="9" t="str">
        <x:v>s03_c02</x:v>
      </x:c>
      <x:c r="C22" s="9" t="str">
        <x:v>take_02</x:v>
      </x:c>
      <x:c r="D22" s="9" t="str">
        <x:v>succeeded</x:v>
      </x:c>
      <x:c r="E22" s="9" t="str">
        <x:v>Selected source</x:v>
      </x:c>
      <x:c r="F22" s="11" t="d">
        <x:v>2026-10-15T13:07:20.597Z</x:v>
      </x:c>
      <x:c r="G22" s="9" t="str">
        <x:v>dreamina-seedance-2-5-260628</x:v>
      </x:c>
      <x:c r="H22" s="9" t="str">
        <x:v>480p</x:v>
      </x:c>
      <x:c r="I22" s="13" t="n">
        <x:v>14</x:v>
      </x:c>
      <x:c r="J22" s="15" t="n">
        <x:v>14.08</x:v>
      </x:c>
      <x:c r="K22" s="17" t="n">
        <x:v>134905</x:v>
      </x:c>
      <x:c r="L22" s="17" t="n">
        <x:f>IF(D22="succeeded",I22,0)</x:f>
        <x:v>14</x:v>
      </x:c>
      <x:c r="M22" s="17" t="n">
        <x:v>0</x:v>
      </x:c>
      <x:c r="N22" s="19" t="n">
        <x:v>1.4434835</x:v>
      </x:c>
      <x:c r="O22" s="19" t="n">
        <x:f>IF(D22="succeeded",K22*'Summary'!$F$5/'Summary'!$F$6,0)</x:f>
        <x:v>1.4434835</x:v>
      </x:c>
      <x:c r="P22" s="21" t="n">
        <x:f>O22*'Summary'!$F$7</x:f>
        <x:v>11.3270150245</x:v>
      </x:c>
      <x:c r="Q22" s="9" t="str"/>
      <x:c r="R22" s="9" t="str">
        <x:v>cgt-20261015130726-wxw3h</x:v>
      </x:c>
      <x:c r="S22" s="9" t="str">
        <x:v>attempt_10c792e70bc74c3a9eade4cb6f20b6df</x:v>
      </x:c>
    </x:row>
    <x:row r="23" ht="22" customHeight="1">
      <x:c r="A23" s="2" t="n">
        <x:v>17</x:v>
      </x:c>
      <x:c r="B23" s="2" t="str">
        <x:v>s03_c03</x:v>
      </x:c>
      <x:c r="C23" s="2" t="str">
        <x:v>take_01</x:v>
      </x:c>
      <x:c r="D23" s="2" t="str">
        <x:v>succeeded</x:v>
      </x:c>
      <x:c r="E23" s="2" t="str">
        <x:v>Superseded video</x:v>
      </x:c>
      <x:c r="F23" s="10" t="d">
        <x:v>2026-10-15T12:51:24.849Z</x:v>
      </x:c>
      <x:c r="G23" s="2" t="str">
        <x:v>dreamina-seedance-2-5-260628</x:v>
      </x:c>
      <x:c r="H23" s="2" t="str">
        <x:v>480p</x:v>
      </x:c>
      <x:c r="I23" s="12" t="n">
        <x:v>18</x:v>
      </x:c>
      <x:c r="J23" s="14" t="n">
        <x:v>18.08</x:v>
      </x:c>
      <x:c r="K23" s="16" t="n">
        <x:v>173335</x:v>
      </x:c>
      <x:c r="L23" s="16" t="n">
        <x:f>IF(D23="succeeded",I23,0)</x:f>
        <x:v>18</x:v>
      </x:c>
      <x:c r="M23" s="16" t="n">
        <x:v>0</x:v>
      </x:c>
      <x:c r="N23" s="18" t="n">
        <x:v>1.8546845</x:v>
      </x:c>
      <x:c r="O23" s="18" t="n">
        <x:f>IF(D23="succeeded",K23*'Summary'!$F$5/'Summary'!$F$6,0)</x:f>
        <x:v>1.8546844999999998</x:v>
      </x:c>
      <x:c r="P23" s="20" t="n">
        <x:f>O23*'Summary'!$F$7</x:f>
        <x:v>14.553709271499999</x:v>
      </x:c>
      <x:c r="Q23" s="2" t="str"/>
      <x:c r="R23" s="2" t="str">
        <x:v>cgt-20261015125128-55twv</x:v>
      </x:c>
      <x:c r="S23" s="2" t="str">
        <x:v>attempt_e2ae14834b5e438d8a19db7913369fbb</x:v>
      </x:c>
    </x:row>
    <x:row r="24" ht="22" customHeight="1">
      <x:c r="A24" s="9" t="n">
        <x:v>18</x:v>
      </x:c>
      <x:c r="B24" s="9" t="str">
        <x:v>s03_c03</x:v>
      </x:c>
      <x:c r="C24" s="9" t="str">
        <x:v>take_02</x:v>
      </x:c>
      <x:c r="D24" s="9" t="str">
        <x:v>succeeded</x:v>
      </x:c>
      <x:c r="E24" s="9" t="str">
        <x:v>Selected source</x:v>
      </x:c>
      <x:c r="F24" s="11" t="d">
        <x:v>2026-10-15T12:58:31.467Z</x:v>
      </x:c>
      <x:c r="G24" s="9" t="str">
        <x:v>dreamina-seedance-2-5-260628</x:v>
      </x:c>
      <x:c r="H24" s="9" t="str">
        <x:v>480p</x:v>
      </x:c>
      <x:c r="I24" s="13" t="n">
        <x:v>18</x:v>
      </x:c>
      <x:c r="J24" s="15" t="n">
        <x:v>18.08</x:v>
      </x:c>
      <x:c r="K24" s="17" t="n">
        <x:v>173335</x:v>
      </x:c>
      <x:c r="L24" s="17" t="n">
        <x:f>IF(D24="succeeded",I24,0)</x:f>
        <x:v>18</x:v>
      </x:c>
      <x:c r="M24" s="17" t="n">
        <x:v>0</x:v>
      </x:c>
      <x:c r="N24" s="19" t="n">
        <x:v>1.8546845</x:v>
      </x:c>
      <x:c r="O24" s="19" t="n">
        <x:f>IF(D24="succeeded",K24*'Summary'!$F$5/'Summary'!$F$6,0)</x:f>
        <x:v>1.8546844999999998</x:v>
      </x:c>
      <x:c r="P24" s="21" t="n">
        <x:f>O24*'Summary'!$F$7</x:f>
        <x:v>14.553709271499999</x:v>
      </x:c>
      <x:c r="Q24" s="9" t="str"/>
      <x:c r="R24" s="9" t="str">
        <x:v>cgt-20261015125834-84l94</x:v>
      </x:c>
      <x:c r="S24" s="9" t="str">
        <x:v>attempt_c9d154ae8d904bd9b9124a4c3b8f3203</x:v>
      </x:c>
    </x:row>
    <x:row r="25" ht="22" customHeight="1">
      <x:c r="A25" s="2" t="n">
        <x:v>19</x:v>
      </x:c>
      <x:c r="B25" s="2" t="str">
        <x:v>s03_c04</x:v>
      </x:c>
      <x:c r="C25" s="2" t="str">
        <x:v>take_01</x:v>
      </x:c>
      <x:c r="D25" s="2" t="str">
        <x:v>succeeded</x:v>
      </x:c>
      <x:c r="E25" s="2" t="str">
        <x:v>Superseded video</x:v>
      </x:c>
      <x:c r="F25" s="10" t="d">
        <x:v>2026-10-15T12:52:11.699Z</x:v>
      </x:c>
      <x:c r="G25" s="2" t="str">
        <x:v>dreamina-seedance-2-5-260628</x:v>
      </x:c>
      <x:c r="H25" s="2" t="str">
        <x:v>480p</x:v>
      </x:c>
      <x:c r="I25" s="12" t="n">
        <x:v>18</x:v>
      </x:c>
      <x:c r="J25" s="14" t="n">
        <x:v>18.08</x:v>
      </x:c>
      <x:c r="K25" s="16" t="n">
        <x:v>173335</x:v>
      </x:c>
      <x:c r="L25" s="16" t="n">
        <x:f>IF(D25="succeeded",I25,0)</x:f>
        <x:v>18</x:v>
      </x:c>
      <x:c r="M25" s="16" t="n">
        <x:v>0</x:v>
      </x:c>
      <x:c r="N25" s="18" t="n">
        <x:v>1.8546845</x:v>
      </x:c>
      <x:c r="O25" s="18" t="n">
        <x:f>IF(D25="succeeded",K25*'Summary'!$F$5/'Summary'!$F$6,0)</x:f>
        <x:v>1.8546844999999998</x:v>
      </x:c>
      <x:c r="P25" s="20" t="n">
        <x:f>O25*'Summary'!$F$7</x:f>
        <x:v>14.553709271499999</x:v>
      </x:c>
      <x:c r="Q25" s="2" t="str"/>
      <x:c r="R25" s="2" t="str">
        <x:v>cgt-20261015125214-e9kc0</x:v>
      </x:c>
      <x:c r="S25" s="2" t="str">
        <x:v>attempt_fd0c31a7dc694aef874ec1b9aba595ab</x:v>
      </x:c>
    </x:row>
    <x:row r="26" ht="22" customHeight="1">
      <x:c r="A26" s="9" t="n">
        <x:v>20</x:v>
      </x:c>
      <x:c r="B26" s="9" t="str">
        <x:v>s03_c04</x:v>
      </x:c>
      <x:c r="C26" s="9" t="str">
        <x:v>take_02</x:v>
      </x:c>
      <x:c r="D26" s="9" t="str">
        <x:v>succeeded</x:v>
      </x:c>
      <x:c r="E26" s="9" t="str">
        <x:v>Selected source</x:v>
      </x:c>
      <x:c r="F26" s="11" t="d">
        <x:v>2026-10-15T12:58:39.117Z</x:v>
      </x:c>
      <x:c r="G26" s="9" t="str">
        <x:v>dreamina-seedance-2-5-260628</x:v>
      </x:c>
      <x:c r="H26" s="9" t="str">
        <x:v>480p</x:v>
      </x:c>
      <x:c r="I26" s="13" t="n">
        <x:v>18</x:v>
      </x:c>
      <x:c r="J26" s="15" t="n">
        <x:v>18.08</x:v>
      </x:c>
      <x:c r="K26" s="17" t="n">
        <x:v>173335</x:v>
      </x:c>
      <x:c r="L26" s="17" t="n">
        <x:f>IF(D26="succeeded",I26,0)</x:f>
        <x:v>18</x:v>
      </x:c>
      <x:c r="M26" s="17" t="n">
        <x:v>0</x:v>
      </x:c>
      <x:c r="N26" s="19" t="n">
        <x:v>1.8546845</x:v>
      </x:c>
      <x:c r="O26" s="19" t="n">
        <x:f>IF(D26="succeeded",K26*'Summary'!$F$5/'Summary'!$F$6,0)</x:f>
        <x:v>1.8546844999999998</x:v>
      </x:c>
      <x:c r="P26" s="21" t="n">
        <x:f>O26*'Summary'!$F$7</x:f>
        <x:v>14.553709271499999</x:v>
      </x:c>
      <x:c r="Q26" s="9" t="str"/>
      <x:c r="R26" s="9" t="str">
        <x:v>cgt-20261015125842-u993c</x:v>
      </x:c>
      <x:c r="S26" s="9" t="str">
        <x:v>attempt_feb6d8f7abef487da6cc8858d339434a</x:v>
      </x:c>
    </x:row>
    <x:row r="27" ht="22" customHeight="1">
      <x:c r="A27" s="2" t="n">
        <x:v>21</x:v>
      </x:c>
      <x:c r="B27" s="2" t="str">
        <x:v>s04_c01</x:v>
      </x:c>
      <x:c r="C27" s="2" t="str">
        <x:v>take_01</x:v>
      </x:c>
      <x:c r="D27" s="2" t="str">
        <x:v>succeeded</x:v>
      </x:c>
      <x:c r="E27" s="2" t="str">
        <x:v>Superseded video</x:v>
      </x:c>
      <x:c r="F27" s="10" t="d">
        <x:v>2026-10-15T13:07:29.816Z</x:v>
      </x:c>
      <x:c r="G27" s="2" t="str">
        <x:v>dreamina-seedance-2-5-260628</x:v>
      </x:c>
      <x:c r="H27" s="2" t="str">
        <x:v>480p</x:v>
      </x:c>
      <x:c r="I27" s="12" t="n">
        <x:v>18</x:v>
      </x:c>
      <x:c r="J27" s="14" t="n">
        <x:v>18.08</x:v>
      </x:c>
      <x:c r="K27" s="16" t="n">
        <x:v>173335</x:v>
      </x:c>
      <x:c r="L27" s="16" t="n">
        <x:f>IF(D27="succeeded",I27,0)</x:f>
        <x:v>18</x:v>
      </x:c>
      <x:c r="M27" s="16" t="n">
        <x:v>0</x:v>
      </x:c>
      <x:c r="N27" s="18" t="n">
        <x:v>1.8546845</x:v>
      </x:c>
      <x:c r="O27" s="18" t="n">
        <x:f>IF(D27="succeeded",K27*'Summary'!$F$5/'Summary'!$F$6,0)</x:f>
        <x:v>1.8546844999999998</x:v>
      </x:c>
      <x:c r="P27" s="20" t="n">
        <x:f>O27*'Summary'!$F$7</x:f>
        <x:v>14.553709271499999</x:v>
      </x:c>
      <x:c r="Q27" s="2" t="str"/>
      <x:c r="R27" s="2" t="str">
        <x:v>cgt-20261015130733-duyd3</x:v>
      </x:c>
      <x:c r="S27" s="2" t="str">
        <x:v>attempt_09ad3ba4fa6846b995f4f2c0c0baf01c</x:v>
      </x:c>
    </x:row>
    <x:row r="28" ht="22" customHeight="1">
      <x:c r="A28" s="9" t="n">
        <x:v>22</x:v>
      </x:c>
      <x:c r="B28" s="9" t="str">
        <x:v>s04_c01</x:v>
      </x:c>
      <x:c r="C28" s="9" t="str">
        <x:v>take_02</x:v>
      </x:c>
      <x:c r="D28" s="9" t="str">
        <x:v>succeeded</x:v>
      </x:c>
      <x:c r="E28" s="9" t="str">
        <x:v>Selected source</x:v>
      </x:c>
      <x:c r="F28" s="11" t="d">
        <x:v>2026-10-15T13:46:14.949Z</x:v>
      </x:c>
      <x:c r="G28" s="9" t="str">
        <x:v>dreamina-seedance-2-5-260628</x:v>
      </x:c>
      <x:c r="H28" s="9" t="str">
        <x:v>480p</x:v>
      </x:c>
      <x:c r="I28" s="13" t="n">
        <x:v>18</x:v>
      </x:c>
      <x:c r="J28" s="15" t="n">
        <x:v>18.08</x:v>
      </x:c>
      <x:c r="K28" s="17" t="n">
        <x:v>173335</x:v>
      </x:c>
      <x:c r="L28" s="17" t="n">
        <x:f>IF(D28="succeeded",I28,0)</x:f>
        <x:v>18</x:v>
      </x:c>
      <x:c r="M28" s="17" t="n">
        <x:v>0</x:v>
      </x:c>
      <x:c r="N28" s="19" t="n">
        <x:v>1.8546845</x:v>
      </x:c>
      <x:c r="O28" s="19" t="n">
        <x:f>IF(D28="succeeded",K28*'Summary'!$F$5/'Summary'!$F$6,0)</x:f>
        <x:v>1.8546844999999998</x:v>
      </x:c>
      <x:c r="P28" s="21" t="n">
        <x:f>O28*'Summary'!$F$7</x:f>
        <x:v>14.553709271499999</x:v>
      </x:c>
      <x:c r="Q28" s="9" t="str"/>
      <x:c r="R28" s="9" t="str">
        <x:v>cgt-20261015134619-ch61a</x:v>
      </x:c>
      <x:c r="S28" s="9" t="str">
        <x:v>attempt_d602c9d91d9f4aea85360eb720ff1132</x:v>
      </x:c>
    </x:row>
    <x:row r="29" ht="22" customHeight="1">
      <x:c r="A29" s="2" t="n">
        <x:v>23</x:v>
      </x:c>
      <x:c r="B29" s="2" t="str">
        <x:v>s04_c02</x:v>
      </x:c>
      <x:c r="C29" s="2" t="str">
        <x:v>take_01</x:v>
      </x:c>
      <x:c r="D29" s="2" t="str">
        <x:v>succeeded</x:v>
      </x:c>
      <x:c r="E29" s="2" t="str">
        <x:v>Superseded video</x:v>
      </x:c>
      <x:c r="F29" s="10" t="d">
        <x:v>2026-10-15T13:07:37.892Z</x:v>
      </x:c>
      <x:c r="G29" s="2" t="str">
        <x:v>dreamina-seedance-2-5-260628</x:v>
      </x:c>
      <x:c r="H29" s="2" t="str">
        <x:v>480p</x:v>
      </x:c>
      <x:c r="I29" s="12" t="n">
        <x:v>16</x:v>
      </x:c>
      <x:c r="J29" s="14" t="n">
        <x:v>16.06</x:v>
      </x:c>
      <x:c r="K29" s="16" t="n">
        <x:v>154120</x:v>
      </x:c>
      <x:c r="L29" s="16" t="n">
        <x:f>IF(D29="succeeded",I29,0)</x:f>
        <x:v>16</x:v>
      </x:c>
      <x:c r="M29" s="16" t="n">
        <x:v>0</x:v>
      </x:c>
      <x:c r="N29" s="18" t="n">
        <x:v>1.649084</x:v>
      </x:c>
      <x:c r="O29" s="18" t="n">
        <x:f>IF(D29="succeeded",K29*'Summary'!$F$5/'Summary'!$F$6,0)</x:f>
        <x:v>1.649084</x:v>
      </x:c>
      <x:c r="P29" s="20" t="n">
        <x:f>O29*'Summary'!$F$7</x:f>
        <x:v>12.940362148</x:v>
      </x:c>
      <x:c r="Q29" s="2" t="str"/>
      <x:c r="R29" s="2" t="str">
        <x:v>cgt-20261015130742-4826l</x:v>
      </x:c>
      <x:c r="S29" s="2" t="str">
        <x:v>attempt_ab7dca72d409491a890bfa1b6cafc1f7</x:v>
      </x:c>
    </x:row>
    <x:row r="30" ht="22" customHeight="1">
      <x:c r="A30" s="9" t="n">
        <x:v>24</x:v>
      </x:c>
      <x:c r="B30" s="9" t="str">
        <x:v>s04_c02</x:v>
      </x:c>
      <x:c r="C30" s="9" t="str">
        <x:v>take_02</x:v>
      </x:c>
      <x:c r="D30" s="9" t="str">
        <x:v>succeeded</x:v>
      </x:c>
      <x:c r="E30" s="9" t="str">
        <x:v>Selected source</x:v>
      </x:c>
      <x:c r="F30" s="11" t="d">
        <x:v>2026-10-15T13:46:24.980Z</x:v>
      </x:c>
      <x:c r="G30" s="9" t="str">
        <x:v>dreamina-seedance-2-5-260628</x:v>
      </x:c>
      <x:c r="H30" s="9" t="str">
        <x:v>480p</x:v>
      </x:c>
      <x:c r="I30" s="13" t="n">
        <x:v>16</x:v>
      </x:c>
      <x:c r="J30" s="15" t="n">
        <x:v>16.06</x:v>
      </x:c>
      <x:c r="K30" s="17" t="n">
        <x:v>154120</x:v>
      </x:c>
      <x:c r="L30" s="17" t="n">
        <x:f>IF(D30="succeeded",I30,0)</x:f>
        <x:v>16</x:v>
      </x:c>
      <x:c r="M30" s="17" t="n">
        <x:v>0</x:v>
      </x:c>
      <x:c r="N30" s="19" t="n">
        <x:v>1.649084</x:v>
      </x:c>
      <x:c r="O30" s="19" t="n">
        <x:f>IF(D30="succeeded",K30*'Summary'!$F$5/'Summary'!$F$6,0)</x:f>
        <x:v>1.649084</x:v>
      </x:c>
      <x:c r="P30" s="21" t="n">
        <x:f>O30*'Summary'!$F$7</x:f>
        <x:v>12.940362148</x:v>
      </x:c>
      <x:c r="Q30" s="9" t="str"/>
      <x:c r="R30" s="9" t="str">
        <x:v>cgt-20261015134628-0jdaa</x:v>
      </x:c>
      <x:c r="S30" s="9" t="str">
        <x:v>attempt_b7df90ed50ee469abc4fb652567babed</x:v>
      </x:c>
    </x:row>
    <x:row r="31" ht="22" customHeight="1">
      <x:c r="A31" s="2" t="n">
        <x:v>25</x:v>
      </x:c>
      <x:c r="B31" s="2" t="str">
        <x:v>s04_c03</x:v>
      </x:c>
      <x:c r="C31" s="2" t="str">
        <x:v>take_01</x:v>
      </x:c>
      <x:c r="D31" s="2" t="str">
        <x:v>succeeded</x:v>
      </x:c>
      <x:c r="E31" s="2" t="str">
        <x:v>Selected source</x:v>
      </x:c>
      <x:c r="F31" s="10" t="d">
        <x:v>2026-10-15T13:07:46.702Z</x:v>
      </x:c>
      <x:c r="G31" s="2" t="str">
        <x:v>dreamina-seedance-2-5-260628</x:v>
      </x:c>
      <x:c r="H31" s="2" t="str">
        <x:v>480p</x:v>
      </x:c>
      <x:c r="I31" s="12" t="n">
        <x:v>14</x:v>
      </x:c>
      <x:c r="J31" s="14" t="n">
        <x:v>14.08</x:v>
      </x:c>
      <x:c r="K31" s="16" t="n">
        <x:v>134905</x:v>
      </x:c>
      <x:c r="L31" s="16" t="n">
        <x:f>IF(D31="succeeded",I31,0)</x:f>
        <x:v>14</x:v>
      </x:c>
      <x:c r="M31" s="16" t="n">
        <x:v>0</x:v>
      </x:c>
      <x:c r="N31" s="18" t="n">
        <x:v>1.4434835</x:v>
      </x:c>
      <x:c r="O31" s="18" t="n">
        <x:f>IF(D31="succeeded",K31*'Summary'!$F$5/'Summary'!$F$6,0)</x:f>
        <x:v>1.4434835</x:v>
      </x:c>
      <x:c r="P31" s="20" t="n">
        <x:f>O31*'Summary'!$F$7</x:f>
        <x:v>11.3270150245</x:v>
      </x:c>
      <x:c r="Q31" s="2" t="str"/>
      <x:c r="R31" s="2" t="str">
        <x:v>cgt-20261015130751-ch3rj</x:v>
      </x:c>
      <x:c r="S31" s="2" t="str">
        <x:v>attempt_7c9c9fbf16ad446eac542ec2c7c2e7fc</x:v>
      </x:c>
    </x:row>
    <x:row r="32" ht="22" customHeight="1">
      <x:c r="A32" s="9" t="n">
        <x:v>26</x:v>
      </x:c>
      <x:c r="B32" s="9" t="str">
        <x:v>s04_c04</x:v>
      </x:c>
      <x:c r="C32" s="9" t="str">
        <x:v>take_01</x:v>
      </x:c>
      <x:c r="D32" s="9" t="str">
        <x:v>succeeded</x:v>
      </x:c>
      <x:c r="E32" s="9" t="str">
        <x:v>Superseded video</x:v>
      </x:c>
      <x:c r="F32" s="11" t="d">
        <x:v>2026-10-15T13:11:29.390Z</x:v>
      </x:c>
      <x:c r="G32" s="9" t="str">
        <x:v>dreamina-seedance-2-5-260628</x:v>
      </x:c>
      <x:c r="H32" s="9" t="str">
        <x:v>480p</x:v>
      </x:c>
      <x:c r="I32" s="13" t="n">
        <x:v>19</x:v>
      </x:c>
      <x:c r="J32" s="15" t="n">
        <x:v>19.07</x:v>
      </x:c>
      <x:c r="K32" s="17" t="n">
        <x:v>182942</x:v>
      </x:c>
      <x:c r="L32" s="17" t="n">
        <x:f>IF(D32="succeeded",I32,0)</x:f>
        <x:v>19</x:v>
      </x:c>
      <x:c r="M32" s="17" t="n">
        <x:v>0</x:v>
      </x:c>
      <x:c r="N32" s="19" t="n">
        <x:v>1.9574794</x:v>
      </x:c>
      <x:c r="O32" s="19" t="n">
        <x:f>IF(D32="succeeded",K32*'Summary'!$F$5/'Summary'!$F$6,0)</x:f>
        <x:v>1.9574794</x:v>
      </x:c>
      <x:c r="P32" s="21" t="n">
        <x:f>O32*'Summary'!$F$7</x:f>
        <x:v>15.3603408518</x:v>
      </x:c>
      <x:c r="Q32" s="9" t="str"/>
      <x:c r="R32" s="9" t="str">
        <x:v>cgt-20261015131132-x1fps</x:v>
      </x:c>
      <x:c r="S32" s="9" t="str">
        <x:v>attempt_d78e374a6a5a46d38f5f8d101db4e6e3</x:v>
      </x:c>
    </x:row>
    <x:row r="33" ht="22" customHeight="1">
      <x:c r="A33" s="2" t="n">
        <x:v>27</x:v>
      </x:c>
      <x:c r="B33" s="2" t="str">
        <x:v>s04_c04</x:v>
      </x:c>
      <x:c r="C33" s="2" t="str">
        <x:v>take_02</x:v>
      </x:c>
      <x:c r="D33" s="2" t="str">
        <x:v>succeeded</x:v>
      </x:c>
      <x:c r="E33" s="2" t="str">
        <x:v>Selected source</x:v>
      </x:c>
      <x:c r="F33" s="10" t="d">
        <x:v>2026-10-15T13:46:34.036Z</x:v>
      </x:c>
      <x:c r="G33" s="2" t="str">
        <x:v>dreamina-seedance-2-5-260628</x:v>
      </x:c>
      <x:c r="H33" s="2" t="str">
        <x:v>480p</x:v>
      </x:c>
      <x:c r="I33" s="12" t="n">
        <x:v>19</x:v>
      </x:c>
      <x:c r="J33" s="14" t="n">
        <x:v>19.07</x:v>
      </x:c>
      <x:c r="K33" s="16" t="n">
        <x:v>182942</x:v>
      </x:c>
      <x:c r="L33" s="16" t="n">
        <x:f>IF(D33="succeeded",I33,0)</x:f>
        <x:v>19</x:v>
      </x:c>
      <x:c r="M33" s="16" t="n">
        <x:v>0</x:v>
      </x:c>
      <x:c r="N33" s="18" t="n">
        <x:v>1.9574794</x:v>
      </x:c>
      <x:c r="O33" s="18" t="n">
        <x:f>IF(D33="succeeded",K33*'Summary'!$F$5/'Summary'!$F$6,0)</x:f>
        <x:v>1.9574794</x:v>
      </x:c>
      <x:c r="P33" s="20" t="n">
        <x:f>O33*'Summary'!$F$7</x:f>
        <x:v>15.3603408518</x:v>
      </x:c>
      <x:c r="Q33" s="2" t="str"/>
      <x:c r="R33" s="2" t="str">
        <x:v>cgt-20261015134637-hz7vj</x:v>
      </x:c>
      <x:c r="S33" s="2" t="str">
        <x:v>attempt_6bb089b19f04458eb8a0ba4f296868ed</x:v>
      </x:c>
    </x:row>
    <x:row r="34" ht="22" customHeight="1">
      <x:c r="A34" s="9" t="n">
        <x:v>28</x:v>
      </x:c>
      <x:c r="B34" s="9" t="str">
        <x:v>s04_c05</x:v>
      </x:c>
      <x:c r="C34" s="9" t="str">
        <x:v>take_01</x:v>
      </x:c>
      <x:c r="D34" s="9" t="str">
        <x:v>succeeded</x:v>
      </x:c>
      <x:c r="E34" s="9" t="str">
        <x:v>Selected source</x:v>
      </x:c>
      <x:c r="F34" s="11" t="d">
        <x:v>2026-10-15T13:11:35.597Z</x:v>
      </x:c>
      <x:c r="G34" s="9" t="str">
        <x:v>dreamina-seedance-2-5-260628</x:v>
      </x:c>
      <x:c r="H34" s="9" t="str">
        <x:v>480p</x:v>
      </x:c>
      <x:c r="I34" s="13" t="n">
        <x:v>15</x:v>
      </x:c>
      <x:c r="J34" s="15" t="n">
        <x:v>15.07</x:v>
      </x:c>
      <x:c r="K34" s="17" t="n">
        <x:v>144512</x:v>
      </x:c>
      <x:c r="L34" s="17" t="n">
        <x:f>IF(D34="succeeded",I34,0)</x:f>
        <x:v>15</x:v>
      </x:c>
      <x:c r="M34" s="17" t="n">
        <x:v>0</x:v>
      </x:c>
      <x:c r="N34" s="19" t="n">
        <x:v>1.5462784</x:v>
      </x:c>
      <x:c r="O34" s="19" t="n">
        <x:f>IF(D34="succeeded",K34*'Summary'!$F$5/'Summary'!$F$6,0)</x:f>
        <x:v>1.5462783999999998</x:v>
      </x:c>
      <x:c r="P34" s="21" t="n">
        <x:f>O34*'Summary'!$F$7</x:f>
        <x:v>12.1336466048</x:v>
      </x:c>
      <x:c r="Q34" s="9" t="str"/>
      <x:c r="R34" s="9" t="str">
        <x:v>cgt-20261015131139-fl5vr</x:v>
      </x:c>
      <x:c r="S34" s="9" t="str">
        <x:v>attempt_3a95d6e5a4ba4c47950bb11c7b4b96a0</x:v>
      </x:c>
    </x:row>
    <x:row r="35" ht="22" customHeight="1">
      <x:c r="A35" s="2" t="n">
        <x:v>29</x:v>
      </x:c>
      <x:c r="B35" s="2" t="str">
        <x:v>s04_c06</x:v>
      </x:c>
      <x:c r="C35" s="2" t="str">
        <x:v>take_01</x:v>
      </x:c>
      <x:c r="D35" s="2" t="str">
        <x:v>rejected</x:v>
      </x:c>
      <x:c r="E35" s="2" t="str">
        <x:v>No video</x:v>
      </x:c>
      <x:c r="F35" s="10" t="d">
        <x:v>2026-10-15T13:11:42.446Z</x:v>
      </x:c>
      <x:c r="G35" s="2" t="str">
        <x:v>dreamina-seedance-2-5-260628</x:v>
      </x:c>
      <x:c r="H35" s="2" t="str">
        <x:v>480p</x:v>
      </x:c>
      <x:c r="I35" s="12" t="n">
        <x:v>8</x:v>
      </x:c>
      <x:c r="J35" s="14"/>
      <x:c r="K35" s="16"/>
      <x:c r="L35" s="16" t="n">
        <x:f>IF(D35="succeeded",I35,0)</x:f>
        <x:v>0</x:v>
      </x:c>
      <x:c r="M35" s="16" t="n">
        <x:v>0</x:v>
      </x:c>
      <x:c r="N35" s="18" t="n">
        <x:v>0</x:v>
      </x:c>
      <x:c r="O35" s="18" t="n">
        <x:f>IF(D35="succeeded",K35*'Summary'!$F$5/'Summary'!$F$6,0)</x:f>
        <x:v>0</x:v>
      </x:c>
      <x:c r="P35" s="20" t="n">
        <x:f>O35*'Summary'!$F$7</x:f>
        <x:v>0</x:v>
      </x:c>
      <x:c r="Q35" s="2" t="str">
        <x:v>InputImageSensitiveContentDetected.PrivacyInformation</x:v>
      </x:c>
      <x:c r="R35" s="2"/>
      <x:c r="S35" s="2" t="str">
        <x:v>attempt_25c15868dd0d45c89363191be9f4c295</x:v>
      </x:c>
    </x:row>
    <x:row r="36" ht="22" customHeight="1">
      <x:c r="A36" s="9" t="n">
        <x:v>30</x:v>
      </x:c>
      <x:c r="B36" s="9" t="str">
        <x:v>s04_c06</x:v>
      </x:c>
      <x:c r="C36" s="9" t="str">
        <x:v>take_02</x:v>
      </x:c>
      <x:c r="D36" s="9" t="str">
        <x:v>succeeded</x:v>
      </x:c>
      <x:c r="E36" s="9" t="str">
        <x:v>Superseded video</x:v>
      </x:c>
      <x:c r="F36" s="11" t="d">
        <x:v>2026-10-15T13:52:55.779Z</x:v>
      </x:c>
      <x:c r="G36" s="9" t="str">
        <x:v>dreamina-seedance-2-5-260628</x:v>
      </x:c>
      <x:c r="H36" s="9" t="str">
        <x:v>480p</x:v>
      </x:c>
      <x:c r="I36" s="13" t="n">
        <x:v>8</x:v>
      </x:c>
      <x:c r="J36" s="15" t="n">
        <x:v>8.06</x:v>
      </x:c>
      <x:c r="K36" s="17" t="n">
        <x:v>77260</x:v>
      </x:c>
      <x:c r="L36" s="17" t="n">
        <x:f>IF(D36="succeeded",I36,0)</x:f>
        <x:v>8</x:v>
      </x:c>
      <x:c r="M36" s="17" t="n">
        <x:v>0</x:v>
      </x:c>
      <x:c r="N36" s="19" t="n">
        <x:v>0.826682</x:v>
      </x:c>
      <x:c r="O36" s="19" t="n">
        <x:f>IF(D36="succeeded",K36*'Summary'!$F$5/'Summary'!$F$6,0)</x:f>
        <x:v>0.826682</x:v>
      </x:c>
      <x:c r="P36" s="21" t="n">
        <x:f>O36*'Summary'!$F$7</x:f>
        <x:v>6.486973654000001</x:v>
      </x:c>
      <x:c r="Q36" s="9" t="str"/>
      <x:c r="R36" s="9" t="str">
        <x:v>cgt-20261015135259-awdw6</x:v>
      </x:c>
      <x:c r="S36" s="9" t="str">
        <x:v>attempt_9d54fcfb2b92467c8309546c00214b42</x:v>
      </x:c>
    </x:row>
    <x:row r="37" ht="22" customHeight="1">
      <x:c r="A37" s="2" t="n">
        <x:v>31</x:v>
      </x:c>
      <x:c r="B37" s="2" t="str">
        <x:v>s04_c06</x:v>
      </x:c>
      <x:c r="C37" s="2" t="str">
        <x:v>take_03</x:v>
      </x:c>
      <x:c r="D37" s="2" t="str">
        <x:v>succeeded</x:v>
      </x:c>
      <x:c r="E37" s="2" t="str">
        <x:v>Selected source</x:v>
      </x:c>
      <x:c r="F37" s="10" t="d">
        <x:v>2026-10-15T14:01:15.094Z</x:v>
      </x:c>
      <x:c r="G37" s="2" t="str">
        <x:v>dreamina-seedance-2-5-260628</x:v>
      </x:c>
      <x:c r="H37" s="2" t="str">
        <x:v>480p</x:v>
      </x:c>
      <x:c r="I37" s="12" t="n">
        <x:v>8</x:v>
      </x:c>
      <x:c r="J37" s="14" t="n">
        <x:v>8.06</x:v>
      </x:c>
      <x:c r="K37" s="16" t="n">
        <x:v>77260</x:v>
      </x:c>
      <x:c r="L37" s="16" t="n">
        <x:f>IF(D37="succeeded",I37,0)</x:f>
        <x:v>8</x:v>
      </x:c>
      <x:c r="M37" s="16" t="n">
        <x:v>0</x:v>
      </x:c>
      <x:c r="N37" s="18" t="n">
        <x:v>0.826682</x:v>
      </x:c>
      <x:c r="O37" s="18" t="n">
        <x:f>IF(D37="succeeded",K37*'Summary'!$F$5/'Summary'!$F$6,0)</x:f>
        <x:v>0.826682</x:v>
      </x:c>
      <x:c r="P37" s="20" t="n">
        <x:f>O37*'Summary'!$F$7</x:f>
        <x:v>6.486973654000001</x:v>
      </x:c>
      <x:c r="Q37" s="2" t="str"/>
      <x:c r="R37" s="2" t="str">
        <x:v>cgt-20261015140118-few3c</x:v>
      </x:c>
      <x:c r="S37" s="2" t="str">
        <x:v>attempt_48f43104f221480e9dc90fcdac7a64c4</x:v>
      </x:c>
    </x:row>
    <x:row r="38" ht="22" customHeight="1">
      <x:c r="A38" s="9" t="n">
        <x:v>32</x:v>
      </x:c>
      <x:c r="B38" s="9" t="str">
        <x:v>s05_c01</x:v>
      </x:c>
      <x:c r="C38" s="9" t="str">
        <x:v>take_01</x:v>
      </x:c>
      <x:c r="D38" s="9" t="str">
        <x:v>succeeded</x:v>
      </x:c>
      <x:c r="E38" s="9" t="str">
        <x:v>Selected source</x:v>
      </x:c>
      <x:c r="F38" s="11" t="d">
        <x:v>2026-10-15T13:20:00.351Z</x:v>
      </x:c>
      <x:c r="G38" s="9" t="str">
        <x:v>dreamina-seedance-2-5-260628</x:v>
      </x:c>
      <x:c r="H38" s="9" t="str">
        <x:v>480p</x:v>
      </x:c>
      <x:c r="I38" s="13" t="n">
        <x:v>16</x:v>
      </x:c>
      <x:c r="J38" s="15" t="n">
        <x:v>16.06</x:v>
      </x:c>
      <x:c r="K38" s="17" t="n">
        <x:v>154120</x:v>
      </x:c>
      <x:c r="L38" s="17" t="n">
        <x:f>IF(D38="succeeded",I38,0)</x:f>
        <x:v>16</x:v>
      </x:c>
      <x:c r="M38" s="17" t="n">
        <x:v>0</x:v>
      </x:c>
      <x:c r="N38" s="19" t="n">
        <x:v>1.649084</x:v>
      </x:c>
      <x:c r="O38" s="19" t="n">
        <x:f>IF(D38="succeeded",K38*'Summary'!$F$5/'Summary'!$F$6,0)</x:f>
        <x:v>1.649084</x:v>
      </x:c>
      <x:c r="P38" s="21" t="n">
        <x:f>O38*'Summary'!$F$7</x:f>
        <x:v>12.940362148</x:v>
      </x:c>
      <x:c r="Q38" s="9" t="str"/>
      <x:c r="R38" s="9" t="str">
        <x:v>cgt-20261015132003-jliyw</x:v>
      </x:c>
      <x:c r="S38" s="9" t="str">
        <x:v>attempt_c1f25640769e497d93cfd612fde7176e</x:v>
      </x:c>
    </x:row>
    <x:row r="39" ht="22" customHeight="1">
      <x:c r="A39" s="2" t="n">
        <x:v>33</x:v>
      </x:c>
      <x:c r="B39" s="2" t="str">
        <x:v>s05_c02</x:v>
      </x:c>
      <x:c r="C39" s="2" t="str">
        <x:v>take_01</x:v>
      </x:c>
      <x:c r="D39" s="2" t="str">
        <x:v>succeeded</x:v>
      </x:c>
      <x:c r="E39" s="2" t="str">
        <x:v>Selected source</x:v>
      </x:c>
      <x:c r="F39" s="10" t="d">
        <x:v>2026-10-15T13:20:07.375Z</x:v>
      </x:c>
      <x:c r="G39" s="2" t="str">
        <x:v>dreamina-seedance-2-5-260628</x:v>
      </x:c>
      <x:c r="H39" s="2" t="str">
        <x:v>480p</x:v>
      </x:c>
      <x:c r="I39" s="12" t="n">
        <x:v>20</x:v>
      </x:c>
      <x:c r="J39" s="14" t="n">
        <x:v>20.06</x:v>
      </x:c>
      <x:c r="K39" s="16" t="n">
        <x:v>192550</x:v>
      </x:c>
      <x:c r="L39" s="16" t="n">
        <x:f>IF(D39="succeeded",I39,0)</x:f>
        <x:v>20</x:v>
      </x:c>
      <x:c r="M39" s="16" t="n">
        <x:v>0</x:v>
      </x:c>
      <x:c r="N39" s="18" t="n">
        <x:v>2.060285</x:v>
      </x:c>
      <x:c r="O39" s="18" t="n">
        <x:f>IF(D39="succeeded",K39*'Summary'!$F$5/'Summary'!$F$6,0)</x:f>
        <x:v>2.060285</x:v>
      </x:c>
      <x:c r="P39" s="20" t="n">
        <x:f>O39*'Summary'!$F$7</x:f>
        <x:v>16.167056395</x:v>
      </x:c>
      <x:c r="Q39" s="2" t="str"/>
      <x:c r="R39" s="2" t="str">
        <x:v>cgt-20261015132010-narh2</x:v>
      </x:c>
      <x:c r="S39" s="2" t="str">
        <x:v>attempt_ec5cd32ac06d44d698118ce4013938c8</x:v>
      </x:c>
    </x:row>
    <x:row r="40" ht="22" customHeight="1">
      <x:c r="A40" s="9" t="n">
        <x:v>34</x:v>
      </x:c>
      <x:c r="B40" s="9" t="str">
        <x:v>s05_c03</x:v>
      </x:c>
      <x:c r="C40" s="9" t="str">
        <x:v>take_01</x:v>
      </x:c>
      <x:c r="D40" s="9" t="str">
        <x:v>succeeded</x:v>
      </x:c>
      <x:c r="E40" s="9" t="str">
        <x:v>Selected source</x:v>
      </x:c>
      <x:c r="F40" s="11" t="d">
        <x:v>2026-10-15T13:20:14.570Z</x:v>
      </x:c>
      <x:c r="G40" s="9" t="str">
        <x:v>dreamina-seedance-2-5-260628</x:v>
      </x:c>
      <x:c r="H40" s="9" t="str">
        <x:v>480p</x:v>
      </x:c>
      <x:c r="I40" s="13" t="n">
        <x:v>19</x:v>
      </x:c>
      <x:c r="J40" s="15" t="n">
        <x:v>19.07</x:v>
      </x:c>
      <x:c r="K40" s="17" t="n">
        <x:v>182942</x:v>
      </x:c>
      <x:c r="L40" s="17" t="n">
        <x:f>IF(D40="succeeded",I40,0)</x:f>
        <x:v>19</x:v>
      </x:c>
      <x:c r="M40" s="17" t="n">
        <x:v>0</x:v>
      </x:c>
      <x:c r="N40" s="19" t="n">
        <x:v>1.9574794</x:v>
      </x:c>
      <x:c r="O40" s="19" t="n">
        <x:f>IF(D40="succeeded",K40*'Summary'!$F$5/'Summary'!$F$6,0)</x:f>
        <x:v>1.9574794</x:v>
      </x:c>
      <x:c r="P40" s="21" t="n">
        <x:f>O40*'Summary'!$F$7</x:f>
        <x:v>15.3603408518</x:v>
      </x:c>
      <x:c r="Q40" s="9" t="str"/>
      <x:c r="R40" s="9" t="str">
        <x:v>cgt-20261015132017-zmoc4</x:v>
      </x:c>
      <x:c r="S40" s="9" t="str">
        <x:v>attempt_82c4e8d759bf4887ab6eb4b142e813d2</x:v>
      </x:c>
    </x:row>
    <x:row r="41" ht="22" customHeight="1">
      <x:c r="A41" s="2" t="n">
        <x:v>35</x:v>
      </x:c>
      <x:c r="B41" s="2" t="str">
        <x:v>s06_c01</x:v>
      </x:c>
      <x:c r="C41" s="2" t="str">
        <x:v>take_01</x:v>
      </x:c>
      <x:c r="D41" s="2" t="str">
        <x:v>succeeded</x:v>
      </x:c>
      <x:c r="E41" s="2" t="str">
        <x:v>Selected source</x:v>
      </x:c>
      <x:c r="F41" s="10" t="d">
        <x:v>2026-10-15T13:53:37.143Z</x:v>
      </x:c>
      <x:c r="G41" s="2" t="str">
        <x:v>dreamina-seedance-2-5-260628</x:v>
      </x:c>
      <x:c r="H41" s="2" t="str">
        <x:v>480p</x:v>
      </x:c>
      <x:c r="I41" s="12" t="n">
        <x:v>18</x:v>
      </x:c>
      <x:c r="J41" s="14" t="n">
        <x:v>18.08</x:v>
      </x:c>
      <x:c r="K41" s="16" t="n">
        <x:v>173335</x:v>
      </x:c>
      <x:c r="L41" s="16" t="n">
        <x:f>IF(D41="succeeded",I41,0)</x:f>
        <x:v>18</x:v>
      </x:c>
      <x:c r="M41" s="16" t="n">
        <x:v>0</x:v>
      </x:c>
      <x:c r="N41" s="18" t="n">
        <x:v>1.8546845</x:v>
      </x:c>
      <x:c r="O41" s="18" t="n">
        <x:f>IF(D41="succeeded",K41*'Summary'!$F$5/'Summary'!$F$6,0)</x:f>
        <x:v>1.8546844999999998</x:v>
      </x:c>
      <x:c r="P41" s="20" t="n">
        <x:f>O41*'Summary'!$F$7</x:f>
        <x:v>14.553709271499999</x:v>
      </x:c>
      <x:c r="Q41" s="2" t="str"/>
      <x:c r="R41" s="2" t="str">
        <x:v>cgt-20261015135341-oyhpo</x:v>
      </x:c>
      <x:c r="S41" s="2" t="str">
        <x:v>attempt_c4914675ab9343969cc47785fdff3696</x:v>
      </x:c>
    </x:row>
    <x:row r="42" ht="22" customHeight="1">
      <x:c r="A42" s="9" t="n">
        <x:v>36</x:v>
      </x:c>
      <x:c r="B42" s="9" t="str">
        <x:v>s06_c02</x:v>
      </x:c>
      <x:c r="C42" s="9" t="str">
        <x:v>take_01</x:v>
      </x:c>
      <x:c r="D42" s="9" t="str">
        <x:v>succeeded</x:v>
      </x:c>
      <x:c r="E42" s="9" t="str">
        <x:v>Selected source</x:v>
      </x:c>
      <x:c r="F42" s="11" t="d">
        <x:v>2026-10-15T13:56:18.303Z</x:v>
      </x:c>
      <x:c r="G42" s="9" t="str">
        <x:v>dreamina-seedance-2-5-260628</x:v>
      </x:c>
      <x:c r="H42" s="9" t="str">
        <x:v>480p</x:v>
      </x:c>
      <x:c r="I42" s="13" t="n">
        <x:v>16</x:v>
      </x:c>
      <x:c r="J42" s="15" t="n">
        <x:v>16.06</x:v>
      </x:c>
      <x:c r="K42" s="17" t="n">
        <x:v>154120</x:v>
      </x:c>
      <x:c r="L42" s="17" t="n">
        <x:f>IF(D42="succeeded",I42,0)</x:f>
        <x:v>16</x:v>
      </x:c>
      <x:c r="M42" s="17" t="n">
        <x:v>0</x:v>
      </x:c>
      <x:c r="N42" s="19" t="n">
        <x:v>1.649084</x:v>
      </x:c>
      <x:c r="O42" s="19" t="n">
        <x:f>IF(D42="succeeded",K42*'Summary'!$F$5/'Summary'!$F$6,0)</x:f>
        <x:v>1.649084</x:v>
      </x:c>
      <x:c r="P42" s="21" t="n">
        <x:f>O42*'Summary'!$F$7</x:f>
        <x:v>12.940362148</x:v>
      </x:c>
      <x:c r="Q42" s="9" t="str"/>
      <x:c r="R42" s="9" t="str">
        <x:v>cgt-20261015135621-3axm6</x:v>
      </x:c>
      <x:c r="S42" s="9" t="str">
        <x:v>attempt_b57fccc1233b4eacb0e26dd29a0a26a1</x:v>
      </x:c>
    </x:row>
    <x:row r="43" ht="22" customHeight="1">
      <x:c r="A43" s="2" t="n">
        <x:v>37</x:v>
      </x:c>
      <x:c r="B43" s="2" t="str">
        <x:v>s06_c03</x:v>
      </x:c>
      <x:c r="C43" s="2" t="str">
        <x:v>take_01</x:v>
      </x:c>
      <x:c r="D43" s="2" t="str">
        <x:v>succeeded</x:v>
      </x:c>
      <x:c r="E43" s="2" t="str">
        <x:v>Selected source</x:v>
      </x:c>
      <x:c r="F43" s="10" t="d">
        <x:v>2026-10-15T14:01:23.881Z</x:v>
      </x:c>
      <x:c r="G43" s="2" t="str">
        <x:v>dreamina-seedance-2-5-260628</x:v>
      </x:c>
      <x:c r="H43" s="2" t="str">
        <x:v>480p</x:v>
      </x:c>
      <x:c r="I43" s="12" t="n">
        <x:v>22</x:v>
      </x:c>
      <x:c r="J43" s="14" t="n">
        <x:v>22.08</x:v>
      </x:c>
      <x:c r="K43" s="16" t="n">
        <x:v>211765</x:v>
      </x:c>
      <x:c r="L43" s="16" t="n">
        <x:f>IF(D43="succeeded",I43,0)</x:f>
        <x:v>22</x:v>
      </x:c>
      <x:c r="M43" s="16" t="n">
        <x:v>0</x:v>
      </x:c>
      <x:c r="N43" s="18" t="n">
        <x:v>2.2658855</x:v>
      </x:c>
      <x:c r="O43" s="18" t="n">
        <x:f>IF(D43="succeeded",K43*'Summary'!$F$5/'Summary'!$F$6,0)</x:f>
        <x:v>2.2658855</x:v>
      </x:c>
      <x:c r="P43" s="20" t="n">
        <x:f>O43*'Summary'!$F$7</x:f>
        <x:v>17.780403518500002</x:v>
      </x:c>
      <x:c r="Q43" s="2" t="str"/>
      <x:c r="R43" s="2" t="str">
        <x:v>cgt-20261015140127-zfsyx</x:v>
      </x:c>
      <x:c r="S43" s="2" t="str">
        <x:v>attempt_8dc27977132543cb8ababb36c62152f9</x:v>
      </x:c>
    </x:row>
    <x:row r="44" ht="22" customHeight="1">
      <x:c r="A44" s="9" t="n">
        <x:v>38</x:v>
      </x:c>
      <x:c r="B44" s="9" t="str">
        <x:v>s06_c04</x:v>
      </x:c>
      <x:c r="C44" s="9" t="str">
        <x:v>take_01</x:v>
      </x:c>
      <x:c r="D44" s="9" t="str">
        <x:v>succeeded</x:v>
      </x:c>
      <x:c r="E44" s="9" t="str">
        <x:v>Selected source</x:v>
      </x:c>
      <x:c r="F44" s="11" t="d">
        <x:v>2026-10-15T14:01:31.103Z</x:v>
      </x:c>
      <x:c r="G44" s="9" t="str">
        <x:v>dreamina-seedance-2-5-260628</x:v>
      </x:c>
      <x:c r="H44" s="9" t="str">
        <x:v>480p</x:v>
      </x:c>
      <x:c r="I44" s="13" t="n">
        <x:v>24</x:v>
      </x:c>
      <x:c r="J44" s="15" t="n">
        <x:v>24.06</x:v>
      </x:c>
      <x:c r="K44" s="17" t="n">
        <x:v>230980</x:v>
      </x:c>
      <x:c r="L44" s="17" t="n">
        <x:f>IF(D44="succeeded",I44,0)</x:f>
        <x:v>24</x:v>
      </x:c>
      <x:c r="M44" s="17" t="n">
        <x:v>0</x:v>
      </x:c>
      <x:c r="N44" s="19" t="n">
        <x:v>2.471486</x:v>
      </x:c>
      <x:c r="O44" s="19" t="n">
        <x:f>IF(D44="succeeded",K44*'Summary'!$F$5/'Summary'!$F$6,0)</x:f>
        <x:v>2.471486</x:v>
      </x:c>
      <x:c r="P44" s="21" t="n">
        <x:f>O44*'Summary'!$F$7</x:f>
        <x:v>19.393750642</x:v>
      </x:c>
      <x:c r="Q44" s="9" t="str"/>
      <x:c r="R44" s="9" t="str">
        <x:v>cgt-20261015140134-n8yju</x:v>
      </x:c>
      <x:c r="S44" s="9" t="str">
        <x:v>attempt_2deebfb5ce544ce1b1017f729b9ba1b1</x:v>
      </x:c>
    </x:row>
    <x:row r="45" ht="22" customHeight="1">
      <x:c r="A45" s="2" t="n">
        <x:v>39</x:v>
      </x:c>
      <x:c r="B45" s="2" t="str">
        <x:v>s07_c01</x:v>
      </x:c>
      <x:c r="C45" s="2" t="str">
        <x:v>take_01</x:v>
      </x:c>
      <x:c r="D45" s="2" t="str">
        <x:v>succeeded</x:v>
      </x:c>
      <x:c r="E45" s="2" t="str">
        <x:v>Selected source</x:v>
      </x:c>
      <x:c r="F45" s="10" t="d">
        <x:v>2026-10-15T13:20:21.008Z</x:v>
      </x:c>
      <x:c r="G45" s="2" t="str">
        <x:v>dreamina-seedance-2-5-260628</x:v>
      </x:c>
      <x:c r="H45" s="2" t="str">
        <x:v>480p</x:v>
      </x:c>
      <x:c r="I45" s="12" t="n">
        <x:v>13</x:v>
      </x:c>
      <x:c r="J45" s="14" t="n">
        <x:v>13.06</x:v>
      </x:c>
      <x:c r="K45" s="16" t="n">
        <x:v>125297</x:v>
      </x:c>
      <x:c r="L45" s="16" t="n">
        <x:f>IF(D45="succeeded",I45,0)</x:f>
        <x:v>13</x:v>
      </x:c>
      <x:c r="M45" s="16" t="n">
        <x:v>0</x:v>
      </x:c>
      <x:c r="N45" s="18" t="n">
        <x:v>1.3406779</x:v>
      </x:c>
      <x:c r="O45" s="18" t="n">
        <x:f>IF(D45="succeeded",K45*'Summary'!$F$5/'Summary'!$F$6,0)</x:f>
        <x:v>1.3406779</x:v>
      </x:c>
      <x:c r="P45" s="20" t="n">
        <x:f>O45*'Summary'!$F$7</x:f>
        <x:v>10.5202994813</x:v>
      </x:c>
      <x:c r="Q45" s="2" t="str"/>
      <x:c r="R45" s="2" t="str">
        <x:v>cgt-20261015132024-h4dmc</x:v>
      </x:c>
      <x:c r="S45" s="2" t="str">
        <x:v>attempt_8fa7f59870ee4063a7acc4d607f75f65</x:v>
      </x:c>
    </x:row>
    <x:row r="46" ht="22" customHeight="1">
      <x:c r="A46" s="9" t="n">
        <x:v>40</x:v>
      </x:c>
      <x:c r="B46" s="9" t="str">
        <x:v>s07_c02</x:v>
      </x:c>
      <x:c r="C46" s="9" t="str">
        <x:v>take_01</x:v>
      </x:c>
      <x:c r="D46" s="9" t="str">
        <x:v>succeeded</x:v>
      </x:c>
      <x:c r="E46" s="9" t="str">
        <x:v>Selected source</x:v>
      </x:c>
      <x:c r="F46" s="11" t="d">
        <x:v>2026-10-15T13:20:27.825Z</x:v>
      </x:c>
      <x:c r="G46" s="9" t="str">
        <x:v>dreamina-seedance-2-5-260628</x:v>
      </x:c>
      <x:c r="H46" s="9" t="str">
        <x:v>480p</x:v>
      </x:c>
      <x:c r="I46" s="13" t="n">
        <x:v>17</x:v>
      </x:c>
      <x:c r="J46" s="15" t="n">
        <x:v>17.06</x:v>
      </x:c>
      <x:c r="K46" s="17" t="n">
        <x:v>163727</x:v>
      </x:c>
      <x:c r="L46" s="17" t="n">
        <x:f>IF(D46="succeeded",I46,0)</x:f>
        <x:v>17</x:v>
      </x:c>
      <x:c r="M46" s="17" t="n">
        <x:v>0</x:v>
      </x:c>
      <x:c r="N46" s="19" t="n">
        <x:v>1.7518789</x:v>
      </x:c>
      <x:c r="O46" s="19" t="n">
        <x:f>IF(D46="succeeded",K46*'Summary'!$F$5/'Summary'!$F$6,0)</x:f>
        <x:v>1.7518789</x:v>
      </x:c>
      <x:c r="P46" s="21" t="n">
        <x:f>O46*'Summary'!$F$7</x:f>
        <x:v>13.7469937283</x:v>
      </x:c>
      <x:c r="Q46" s="9" t="str"/>
      <x:c r="R46" s="9" t="str">
        <x:v>cgt-20261015132030-eswhl</x:v>
      </x:c>
      <x:c r="S46" s="9" t="str">
        <x:v>attempt_8d27aef533f947b19ab9d617d61a9913</x:v>
      </x:c>
    </x:row>
    <x:row r="47" ht="22" customHeight="1">
      <x:c r="A47" s="2" t="n">
        <x:v>41</x:v>
      </x:c>
      <x:c r="B47" s="2" t="str">
        <x:v>s07_c03</x:v>
      </x:c>
      <x:c r="C47" s="2" t="str">
        <x:v>take_01</x:v>
      </x:c>
      <x:c r="D47" s="2" t="str">
        <x:v>succeeded</x:v>
      </x:c>
      <x:c r="E47" s="2" t="str">
        <x:v>Superseded video</x:v>
      </x:c>
      <x:c r="F47" s="10" t="d">
        <x:v>2026-10-15T13:24:20.558Z</x:v>
      </x:c>
      <x:c r="G47" s="2" t="str">
        <x:v>dreamina-seedance-2-5-260628</x:v>
      </x:c>
      <x:c r="H47" s="2" t="str">
        <x:v>480p</x:v>
      </x:c>
      <x:c r="I47" s="12" t="n">
        <x:v>15</x:v>
      </x:c>
      <x:c r="J47" s="14" t="n">
        <x:v>15.07</x:v>
      </x:c>
      <x:c r="K47" s="16" t="n">
        <x:v>144512</x:v>
      </x:c>
      <x:c r="L47" s="16" t="n">
        <x:f>IF(D47="succeeded",I47,0)</x:f>
        <x:v>15</x:v>
      </x:c>
      <x:c r="M47" s="16" t="n">
        <x:v>0</x:v>
      </x:c>
      <x:c r="N47" s="18" t="n">
        <x:v>1.5462784</x:v>
      </x:c>
      <x:c r="O47" s="18" t="n">
        <x:f>IF(D47="succeeded",K47*'Summary'!$F$5/'Summary'!$F$6,0)</x:f>
        <x:v>1.5462783999999998</x:v>
      </x:c>
      <x:c r="P47" s="20" t="n">
        <x:f>O47*'Summary'!$F$7</x:f>
        <x:v>12.1336466048</x:v>
      </x:c>
      <x:c r="Q47" s="2" t="str"/>
      <x:c r="R47" s="2" t="str">
        <x:v>cgt-20261015132423-y7kye</x:v>
      </x:c>
      <x:c r="S47" s="2" t="str">
        <x:v>attempt_ef840a5a642245fd938b6d2b3b838037</x:v>
      </x:c>
    </x:row>
    <x:row r="48" ht="22" customHeight="1">
      <x:c r="A48" s="9" t="n">
        <x:v>42</x:v>
      </x:c>
      <x:c r="B48" s="9" t="str">
        <x:v>s07_c03</x:v>
      </x:c>
      <x:c r="C48" s="9" t="str">
        <x:v>take_02</x:v>
      </x:c>
      <x:c r="D48" s="9" t="str">
        <x:v>succeeded</x:v>
      </x:c>
      <x:c r="E48" s="9" t="str">
        <x:v>Selected source</x:v>
      </x:c>
      <x:c r="F48" s="11" t="d">
        <x:v>2026-10-15T13:46:40.426Z</x:v>
      </x:c>
      <x:c r="G48" s="9" t="str">
        <x:v>dreamina-seedance-2-5-260628</x:v>
      </x:c>
      <x:c r="H48" s="9" t="str">
        <x:v>480p</x:v>
      </x:c>
      <x:c r="I48" s="13" t="n">
        <x:v>15</x:v>
      </x:c>
      <x:c r="J48" s="15" t="n">
        <x:v>15.07</x:v>
      </x:c>
      <x:c r="K48" s="17" t="n">
        <x:v>144512</x:v>
      </x:c>
      <x:c r="L48" s="17" t="n">
        <x:f>IF(D48="succeeded",I48,0)</x:f>
        <x:v>15</x:v>
      </x:c>
      <x:c r="M48" s="17" t="n">
        <x:v>0</x:v>
      </x:c>
      <x:c r="N48" s="19" t="n">
        <x:v>1.5462784</x:v>
      </x:c>
      <x:c r="O48" s="19" t="n">
        <x:f>IF(D48="succeeded",K48*'Summary'!$F$5/'Summary'!$F$6,0)</x:f>
        <x:v>1.5462783999999998</x:v>
      </x:c>
      <x:c r="P48" s="21" t="n">
        <x:f>O48*'Summary'!$F$7</x:f>
        <x:v>12.1336466048</x:v>
      </x:c>
      <x:c r="Q48" s="9" t="str"/>
      <x:c r="R48" s="9" t="str">
        <x:v>cgt-20261015134643-p2xmi</x:v>
      </x:c>
      <x:c r="S48" s="9" t="str">
        <x:v>attempt_1a88d160b35f49b69df7a28be011f0a8</x:v>
      </x:c>
    </x:row>
    <x:row r="49" ht="22" customHeight="1">
      <x:c r="A49" s="2" t="n">
        <x:v>43</x:v>
      </x:c>
      <x:c r="B49" s="2" t="str">
        <x:v>s07_c04</x:v>
      </x:c>
      <x:c r="C49" s="2" t="str">
        <x:v>take_01</x:v>
      </x:c>
      <x:c r="D49" s="2" t="str">
        <x:v>succeeded</x:v>
      </x:c>
      <x:c r="E49" s="2" t="str">
        <x:v>Selected source</x:v>
      </x:c>
      <x:c r="F49" s="10" t="d">
        <x:v>2026-10-15T13:24:27.298Z</x:v>
      </x:c>
      <x:c r="G49" s="2" t="str">
        <x:v>dreamina-seedance-2-5-260628</x:v>
      </x:c>
      <x:c r="H49" s="2" t="str">
        <x:v>480p</x:v>
      </x:c>
      <x:c r="I49" s="12" t="n">
        <x:v>10</x:v>
      </x:c>
      <x:c r="J49" s="14" t="n">
        <x:v>10.08</x:v>
      </x:c>
      <x:c r="K49" s="16" t="n">
        <x:v>96475</x:v>
      </x:c>
      <x:c r="L49" s="16" t="n">
        <x:f>IF(D49="succeeded",I49,0)</x:f>
        <x:v>10</x:v>
      </x:c>
      <x:c r="M49" s="16" t="n">
        <x:v>0</x:v>
      </x:c>
      <x:c r="N49" s="18" t="n">
        <x:v>1.0322825</x:v>
      </x:c>
      <x:c r="O49" s="18" t="n">
        <x:f>IF(D49="succeeded",K49*'Summary'!$F$5/'Summary'!$F$6,0)</x:f>
        <x:v>1.0322825</x:v>
      </x:c>
      <x:c r="P49" s="20" t="n">
        <x:f>O49*'Summary'!$F$7</x:f>
        <x:v>8.1003207775</x:v>
      </x:c>
      <x:c r="Q49" s="2" t="str"/>
      <x:c r="R49" s="2" t="str">
        <x:v>cgt-20261015132430-a1ob7</x:v>
      </x:c>
      <x:c r="S49" s="2" t="str">
        <x:v>attempt_04cb5388aff1485aa736df5f22edd0ae</x:v>
      </x:c>
    </x:row>
    <x:row r="50" ht="22" customHeight="1">
      <x:c r="A50" s="9" t="n">
        <x:v>44</x:v>
      </x:c>
      <x:c r="B50" s="9" t="str">
        <x:v>s08_c01</x:v>
      </x:c>
      <x:c r="C50" s="9" t="str">
        <x:v>take_01</x:v>
      </x:c>
      <x:c r="D50" s="9" t="str">
        <x:v>succeeded</x:v>
      </x:c>
      <x:c r="E50" s="9" t="str">
        <x:v>Selected source</x:v>
      </x:c>
      <x:c r="F50" s="11" t="d">
        <x:v>2026-10-15T13:24:34.679Z</x:v>
      </x:c>
      <x:c r="G50" s="9" t="str">
        <x:v>dreamina-seedance-2-5-260628</x:v>
      </x:c>
      <x:c r="H50" s="9" t="str">
        <x:v>480p</x:v>
      </x:c>
      <x:c r="I50" s="13" t="n">
        <x:v>16</x:v>
      </x:c>
      <x:c r="J50" s="15" t="n">
        <x:v>16.06</x:v>
      </x:c>
      <x:c r="K50" s="17" t="n">
        <x:v>154120</x:v>
      </x:c>
      <x:c r="L50" s="17" t="n">
        <x:f>IF(D50="succeeded",I50,0)</x:f>
        <x:v>16</x:v>
      </x:c>
      <x:c r="M50" s="17" t="n">
        <x:v>0</x:v>
      </x:c>
      <x:c r="N50" s="19" t="n">
        <x:v>1.649084</x:v>
      </x:c>
      <x:c r="O50" s="19" t="n">
        <x:f>IF(D50="succeeded",K50*'Summary'!$F$5/'Summary'!$F$6,0)</x:f>
        <x:v>1.649084</x:v>
      </x:c>
      <x:c r="P50" s="21" t="n">
        <x:f>O50*'Summary'!$F$7</x:f>
        <x:v>12.940362148</x:v>
      </x:c>
      <x:c r="Q50" s="9" t="str"/>
      <x:c r="R50" s="9" t="str">
        <x:v>cgt-20261015132438-jr4i2</x:v>
      </x:c>
      <x:c r="S50" s="9" t="str">
        <x:v>attempt_04a9d44656b743f5ae673bdc9275977d</x:v>
      </x:c>
    </x:row>
    <x:row r="51" ht="22" customHeight="1">
      <x:c r="A51" s="2" t="n">
        <x:v>45</x:v>
      </x:c>
      <x:c r="B51" s="2" t="str">
        <x:v>s08_c02</x:v>
      </x:c>
      <x:c r="C51" s="2" t="str">
        <x:v>take_01</x:v>
      </x:c>
      <x:c r="D51" s="2" t="str">
        <x:v>succeeded</x:v>
      </x:c>
      <x:c r="E51" s="2" t="str">
        <x:v>Superseded video</x:v>
      </x:c>
      <x:c r="F51" s="10" t="d">
        <x:v>2026-10-15T13:24:42.221Z</x:v>
      </x:c>
      <x:c r="G51" s="2" t="str">
        <x:v>dreamina-seedance-2-5-260628</x:v>
      </x:c>
      <x:c r="H51" s="2" t="str">
        <x:v>480p</x:v>
      </x:c>
      <x:c r="I51" s="12" t="n">
        <x:v>14</x:v>
      </x:c>
      <x:c r="J51" s="14" t="n">
        <x:v>14.08</x:v>
      </x:c>
      <x:c r="K51" s="16" t="n">
        <x:v>134905</x:v>
      </x:c>
      <x:c r="L51" s="16" t="n">
        <x:f>IF(D51="succeeded",I51,0)</x:f>
        <x:v>14</x:v>
      </x:c>
      <x:c r="M51" s="16" t="n">
        <x:v>0</x:v>
      </x:c>
      <x:c r="N51" s="18" t="n">
        <x:v>1.4434835</x:v>
      </x:c>
      <x:c r="O51" s="18" t="n">
        <x:f>IF(D51="succeeded",K51*'Summary'!$F$5/'Summary'!$F$6,0)</x:f>
        <x:v>1.4434835</x:v>
      </x:c>
      <x:c r="P51" s="20" t="n">
        <x:f>O51*'Summary'!$F$7</x:f>
        <x:v>11.3270150245</x:v>
      </x:c>
      <x:c r="Q51" s="2" t="str"/>
      <x:c r="R51" s="2" t="str">
        <x:v>cgt-20261015132445-qs6r1</x:v>
      </x:c>
      <x:c r="S51" s="2" t="str">
        <x:v>attempt_be1ecca9abd14547bcd6c1aeef95a588</x:v>
      </x:c>
    </x:row>
    <x:row r="52" ht="22" customHeight="1">
      <x:c r="A52" s="9" t="n">
        <x:v>46</x:v>
      </x:c>
      <x:c r="B52" s="9" t="str">
        <x:v>s08_c02</x:v>
      </x:c>
      <x:c r="C52" s="9" t="str">
        <x:v>take_02</x:v>
      </x:c>
      <x:c r="D52" s="9" t="str">
        <x:v>succeeded</x:v>
      </x:c>
      <x:c r="E52" s="9" t="str">
        <x:v>Selected source</x:v>
      </x:c>
      <x:c r="F52" s="11" t="d">
        <x:v>2026-10-15T13:46:47.470Z</x:v>
      </x:c>
      <x:c r="G52" s="9" t="str">
        <x:v>dreamina-seedance-2-5-260628</x:v>
      </x:c>
      <x:c r="H52" s="9" t="str">
        <x:v>480p</x:v>
      </x:c>
      <x:c r="I52" s="13" t="n">
        <x:v>14</x:v>
      </x:c>
      <x:c r="J52" s="15" t="n">
        <x:v>14.08</x:v>
      </x:c>
      <x:c r="K52" s="17" t="n">
        <x:v>134905</x:v>
      </x:c>
      <x:c r="L52" s="17" t="n">
        <x:f>IF(D52="succeeded",I52,0)</x:f>
        <x:v>14</x:v>
      </x:c>
      <x:c r="M52" s="17" t="n">
        <x:v>0</x:v>
      </x:c>
      <x:c r="N52" s="19" t="n">
        <x:v>1.4434835</x:v>
      </x:c>
      <x:c r="O52" s="19" t="n">
        <x:f>IF(D52="succeeded",K52*'Summary'!$F$5/'Summary'!$F$6,0)</x:f>
        <x:v>1.4434835</x:v>
      </x:c>
      <x:c r="P52" s="21" t="n">
        <x:f>O52*'Summary'!$F$7</x:f>
        <x:v>11.3270150245</x:v>
      </x:c>
      <x:c r="Q52" s="9" t="str"/>
      <x:c r="R52" s="9" t="str">
        <x:v>cgt-20261015134651-pm5dg</x:v>
      </x:c>
      <x:c r="S52" s="9" t="str">
        <x:v>attempt_8e11d2a4dc2a4e40a3fba61c4445b85f</x:v>
      </x:c>
    </x:row>
    <x:row r="53" ht="22" customHeight="1">
      <x:c r="A53" s="2" t="n">
        <x:v>47</x:v>
      </x:c>
      <x:c r="B53" s="2" t="str">
        <x:v>s08_c03</x:v>
      </x:c>
      <x:c r="C53" s="2" t="str">
        <x:v>take_01</x:v>
      </x:c>
      <x:c r="D53" s="2" t="str">
        <x:v>succeeded</x:v>
      </x:c>
      <x:c r="E53" s="2" t="str">
        <x:v>Selected source</x:v>
      </x:c>
      <x:c r="F53" s="10" t="d">
        <x:v>2026-10-15T14:01:38.952Z</x:v>
      </x:c>
      <x:c r="G53" s="2" t="str">
        <x:v>dreamina-seedance-2-5-260628</x:v>
      </x:c>
      <x:c r="H53" s="2" t="str">
        <x:v>480p</x:v>
      </x:c>
      <x:c r="I53" s="12" t="n">
        <x:v>16</x:v>
      </x:c>
      <x:c r="J53" s="14" t="n">
        <x:v>16.04</x:v>
      </x:c>
      <x:c r="K53" s="16" t="n">
        <x:v>154120</x:v>
      </x:c>
      <x:c r="L53" s="16" t="n">
        <x:f>IF(D53="succeeded",I53,0)</x:f>
        <x:v>16</x:v>
      </x:c>
      <x:c r="M53" s="16" t="n">
        <x:v>0</x:v>
      </x:c>
      <x:c r="N53" s="18" t="n">
        <x:v>1.649084</x:v>
      </x:c>
      <x:c r="O53" s="18" t="n">
        <x:f>IF(D53="succeeded",K53*'Summary'!$F$5/'Summary'!$F$6,0)</x:f>
        <x:v>1.649084</x:v>
      </x:c>
      <x:c r="P53" s="20" t="n">
        <x:f>O53*'Summary'!$F$7</x:f>
        <x:v>12.940362148</x:v>
      </x:c>
      <x:c r="Q53" s="2" t="str"/>
      <x:c r="R53" s="2" t="str">
        <x:v>cgt-20261015140142-n5x2z</x:v>
      </x:c>
      <x:c r="S53" s="2" t="str">
        <x:v>attempt_3e7ed33c90194fa6ac2944b57e1adcfe</x:v>
      </x:c>
    </x:row>
    <x:row r="54" ht="22" customHeight="1">
      <x:c r="A54" s="9" t="n">
        <x:v>48</x:v>
      </x:c>
      <x:c r="B54" s="9" t="str">
        <x:v>s08_c04</x:v>
      </x:c>
      <x:c r="C54" s="9" t="str">
        <x:v>take_01</x:v>
      </x:c>
      <x:c r="D54" s="9" t="str">
        <x:v>succeeded</x:v>
      </x:c>
      <x:c r="E54" s="9" t="str">
        <x:v>Selected source</x:v>
      </x:c>
      <x:c r="F54" s="11" t="d">
        <x:v>2026-10-15T14:01:46.362Z</x:v>
      </x:c>
      <x:c r="G54" s="9" t="str">
        <x:v>dreamina-seedance-2-5-260628</x:v>
      </x:c>
      <x:c r="H54" s="9" t="str">
        <x:v>480p</x:v>
      </x:c>
      <x:c r="I54" s="13" t="n">
        <x:v>14</x:v>
      </x:c>
      <x:c r="J54" s="15" t="n">
        <x:v>14.08</x:v>
      </x:c>
      <x:c r="K54" s="17" t="n">
        <x:v>134905</x:v>
      </x:c>
      <x:c r="L54" s="17" t="n">
        <x:f>IF(D54="succeeded",I54,0)</x:f>
        <x:v>14</x:v>
      </x:c>
      <x:c r="M54" s="17" t="n">
        <x:v>0</x:v>
      </x:c>
      <x:c r="N54" s="19" t="n">
        <x:v>1.4434835</x:v>
      </x:c>
      <x:c r="O54" s="19" t="n">
        <x:f>IF(D54="succeeded",K54*'Summary'!$F$5/'Summary'!$F$6,0)</x:f>
        <x:v>1.4434835</x:v>
      </x:c>
      <x:c r="P54" s="21" t="n">
        <x:f>O54*'Summary'!$F$7</x:f>
        <x:v>11.3270150245</x:v>
      </x:c>
      <x:c r="Q54" s="9" t="str"/>
      <x:c r="R54" s="9" t="str">
        <x:v>cgt-20261015140149-dud0r</x:v>
      </x:c>
      <x:c r="S54" s="9" t="str">
        <x:v>attempt_8194feee0f034249ad4232d62a2444e8</x:v>
      </x:c>
    </x:row>
    <x:row r="55" ht="22" customHeight="1">
      <x:c r="A55" s="2" t="n">
        <x:v>49</x:v>
      </x:c>
      <x:c r="B55" s="2" t="str">
        <x:v>s09_c01</x:v>
      </x:c>
      <x:c r="C55" s="2" t="str">
        <x:v>take_01</x:v>
      </x:c>
      <x:c r="D55" s="2" t="str">
        <x:v>succeeded</x:v>
      </x:c>
      <x:c r="E55" s="2" t="str">
        <x:v>Selected source</x:v>
      </x:c>
      <x:c r="F55" s="10" t="d">
        <x:v>2026-10-15T14:01:53.396Z</x:v>
      </x:c>
      <x:c r="G55" s="2" t="str">
        <x:v>dreamina-seedance-2-5-260628</x:v>
      </x:c>
      <x:c r="H55" s="2" t="str">
        <x:v>480p</x:v>
      </x:c>
      <x:c r="I55" s="12" t="n">
        <x:v>18</x:v>
      </x:c>
      <x:c r="J55" s="14" t="n">
        <x:v>18.08</x:v>
      </x:c>
      <x:c r="K55" s="16" t="n">
        <x:v>173335</x:v>
      </x:c>
      <x:c r="L55" s="16" t="n">
        <x:f>IF(D55="succeeded",I55,0)</x:f>
        <x:v>18</x:v>
      </x:c>
      <x:c r="M55" s="16" t="n">
        <x:v>0</x:v>
      </x:c>
      <x:c r="N55" s="18" t="n">
        <x:v>1.8546845</x:v>
      </x:c>
      <x:c r="O55" s="18" t="n">
        <x:f>IF(D55="succeeded",K55*'Summary'!$F$5/'Summary'!$F$6,0)</x:f>
        <x:v>1.8546844999999998</x:v>
      </x:c>
      <x:c r="P55" s="20" t="n">
        <x:f>O55*'Summary'!$F$7</x:f>
        <x:v>14.553709271499999</x:v>
      </x:c>
      <x:c r="Q55" s="2" t="str"/>
      <x:c r="R55" s="2" t="str">
        <x:v>cgt-20261015140157-ow3ml</x:v>
      </x:c>
      <x:c r="S55" s="2" t="str">
        <x:v>attempt_cef6f7823c804dce929a6896f2bde0c6</x:v>
      </x:c>
    </x:row>
    <x:row r="56" ht="22" customHeight="1">
      <x:c r="A56" s="9" t="n">
        <x:v>50</x:v>
      </x:c>
      <x:c r="B56" s="9" t="str">
        <x:v>s09_c02</x:v>
      </x:c>
      <x:c r="C56" s="9" t="str">
        <x:v>take_01</x:v>
      </x:c>
      <x:c r="D56" s="9" t="str">
        <x:v>succeeded</x:v>
      </x:c>
      <x:c r="E56" s="9" t="str">
        <x:v>Selected source</x:v>
      </x:c>
      <x:c r="F56" s="11" t="d">
        <x:v>2026-10-15T14:02:01.956Z</x:v>
      </x:c>
      <x:c r="G56" s="9" t="str">
        <x:v>dreamina-seedance-2-5-260628</x:v>
      </x:c>
      <x:c r="H56" s="9" t="str">
        <x:v>480p</x:v>
      </x:c>
      <x:c r="I56" s="13" t="n">
        <x:v>16</x:v>
      </x:c>
      <x:c r="J56" s="15" t="n">
        <x:v>16.04</x:v>
      </x:c>
      <x:c r="K56" s="17" t="n">
        <x:v>154120</x:v>
      </x:c>
      <x:c r="L56" s="17" t="n">
        <x:f>IF(D56="succeeded",I56,0)</x:f>
        <x:v>16</x:v>
      </x:c>
      <x:c r="M56" s="17" t="n">
        <x:v>0</x:v>
      </x:c>
      <x:c r="N56" s="19" t="n">
        <x:v>1.649084</x:v>
      </x:c>
      <x:c r="O56" s="19" t="n">
        <x:f>IF(D56="succeeded",K56*'Summary'!$F$5/'Summary'!$F$6,0)</x:f>
        <x:v>1.649084</x:v>
      </x:c>
      <x:c r="P56" s="21" t="n">
        <x:f>O56*'Summary'!$F$7</x:f>
        <x:v>12.940362148</x:v>
      </x:c>
      <x:c r="Q56" s="9" t="str"/>
      <x:c r="R56" s="9" t="str">
        <x:v>cgt-20261015140205-fftdi</x:v>
      </x:c>
      <x:c r="S56" s="9" t="str">
        <x:v>attempt_a0d3face3cd04970a574104ea625d024</x:v>
      </x:c>
    </x:row>
    <x:row r="57" ht="22" customHeight="1">
      <x:c r="A57" s="2" t="n">
        <x:v>51</x:v>
      </x:c>
      <x:c r="B57" s="2" t="str">
        <x:v>s09_c03</x:v>
      </x:c>
      <x:c r="C57" s="2" t="str">
        <x:v>take_01</x:v>
      </x:c>
      <x:c r="D57" s="2" t="str">
        <x:v>succeeded</x:v>
      </x:c>
      <x:c r="E57" s="2" t="str">
        <x:v>Selected source</x:v>
      </x:c>
      <x:c r="F57" s="10" t="d">
        <x:v>2026-10-15T14:02:10.053Z</x:v>
      </x:c>
      <x:c r="G57" s="2" t="str">
        <x:v>dreamina-seedance-2-5-260628</x:v>
      </x:c>
      <x:c r="H57" s="2" t="str">
        <x:v>480p</x:v>
      </x:c>
      <x:c r="I57" s="12" t="n">
        <x:v>16</x:v>
      </x:c>
      <x:c r="J57" s="14" t="n">
        <x:v>16.06</x:v>
      </x:c>
      <x:c r="K57" s="16" t="n">
        <x:v>154120</x:v>
      </x:c>
      <x:c r="L57" s="16" t="n">
        <x:f>IF(D57="succeeded",I57,0)</x:f>
        <x:v>16</x:v>
      </x:c>
      <x:c r="M57" s="16" t="n">
        <x:v>0</x:v>
      </x:c>
      <x:c r="N57" s="18" t="n">
        <x:v>1.649084</x:v>
      </x:c>
      <x:c r="O57" s="18" t="n">
        <x:f>IF(D57="succeeded",K57*'Summary'!$F$5/'Summary'!$F$6,0)</x:f>
        <x:v>1.649084</x:v>
      </x:c>
      <x:c r="P57" s="20" t="n">
        <x:f>O57*'Summary'!$F$7</x:f>
        <x:v>12.940362148</x:v>
      </x:c>
      <x:c r="Q57" s="2" t="str"/>
      <x:c r="R57" s="2" t="str">
        <x:v>cgt-20261015140213-uzs08</x:v>
      </x:c>
      <x:c r="S57" s="2" t="str">
        <x:v>attempt_ab276f7164f24bc399012a3299464537</x:v>
      </x:c>
    </x:row>
    <x:row r="58" ht="22" customHeight="1">
      <x:c r="A58" s="9" t="n">
        <x:v>52</x:v>
      </x:c>
      <x:c r="B58" s="9" t="str">
        <x:v>s09_c04</x:v>
      </x:c>
      <x:c r="C58" s="9" t="str">
        <x:v>take_01</x:v>
      </x:c>
      <x:c r="D58" s="9" t="str">
        <x:v>succeeded</x:v>
      </x:c>
      <x:c r="E58" s="9" t="str">
        <x:v>Selected source</x:v>
      </x:c>
      <x:c r="F58" s="11" t="d">
        <x:v>2026-10-15T14:02:17.241Z</x:v>
      </x:c>
      <x:c r="G58" s="9" t="str">
        <x:v>dreamina-seedance-2-5-260628</x:v>
      </x:c>
      <x:c r="H58" s="9" t="str">
        <x:v>480p</x:v>
      </x:c>
      <x:c r="I58" s="13" t="n">
        <x:v>24</x:v>
      </x:c>
      <x:c r="J58" s="15" t="n">
        <x:v>24.06</x:v>
      </x:c>
      <x:c r="K58" s="17" t="n">
        <x:v>230980</x:v>
      </x:c>
      <x:c r="L58" s="17" t="n">
        <x:f>IF(D58="succeeded",I58,0)</x:f>
        <x:v>24</x:v>
      </x:c>
      <x:c r="M58" s="17" t="n">
        <x:v>0</x:v>
      </x:c>
      <x:c r="N58" s="19" t="n">
        <x:v>2.471486</x:v>
      </x:c>
      <x:c r="O58" s="19" t="n">
        <x:f>IF(D58="succeeded",K58*'Summary'!$F$5/'Summary'!$F$6,0)</x:f>
        <x:v>2.471486</x:v>
      </x:c>
      <x:c r="P58" s="21" t="n">
        <x:f>O58*'Summary'!$F$7</x:f>
        <x:v>19.393750642</x:v>
      </x:c>
      <x:c r="Q58" s="9" t="str"/>
      <x:c r="R58" s="9" t="str">
        <x:v>cgt-20261015140220-grb9x</x:v>
      </x:c>
      <x:c r="S58" s="9" t="str">
        <x:v>attempt_083e687794a14f178c74957a1da85c17</x:v>
      </x:c>
    </x:row>
    <x:row r="59" ht="22" customHeight="1">
      <x:c r="A59" s="2" t="n">
        <x:v>53</x:v>
      </x:c>
      <x:c r="B59" s="2" t="str">
        <x:v>s09_c05</x:v>
      </x:c>
      <x:c r="C59" s="2" t="str">
        <x:v>take_01</x:v>
      </x:c>
      <x:c r="D59" s="2" t="str">
        <x:v>succeeded</x:v>
      </x:c>
      <x:c r="E59" s="2" t="str">
        <x:v>Selected source</x:v>
      </x:c>
      <x:c r="F59" s="10" t="d">
        <x:v>2026-10-15T14:02:24.784Z</x:v>
      </x:c>
      <x:c r="G59" s="2" t="str">
        <x:v>dreamina-seedance-2-5-260628</x:v>
      </x:c>
      <x:c r="H59" s="2" t="str">
        <x:v>480p</x:v>
      </x:c>
      <x:c r="I59" s="12" t="n">
        <x:v>11</x:v>
      </x:c>
      <x:c r="J59" s="14" t="n">
        <x:v>11.07</x:v>
      </x:c>
      <x:c r="K59" s="16" t="n">
        <x:v>106082</x:v>
      </x:c>
      <x:c r="L59" s="16" t="n">
        <x:f>IF(D59="succeeded",I59,0)</x:f>
        <x:v>11</x:v>
      </x:c>
      <x:c r="M59" s="16" t="n">
        <x:v>0</x:v>
      </x:c>
      <x:c r="N59" s="18" t="n">
        <x:v>1.1350774</x:v>
      </x:c>
      <x:c r="O59" s="18" t="n">
        <x:f>IF(D59="succeeded",K59*'Summary'!$F$5/'Summary'!$F$6,0)</x:f>
        <x:v>1.1350774</x:v>
      </x:c>
      <x:c r="P59" s="20" t="n">
        <x:f>O59*'Summary'!$F$7</x:f>
        <x:v>8.9069523578</x:v>
      </x:c>
      <x:c r="Q59" s="2" t="str"/>
      <x:c r="R59" s="2" t="str">
        <x:v>cgt-20261015140228-7vfkp</x:v>
      </x:c>
      <x:c r="S59" s="2" t="str">
        <x:v>attempt_42ebc99bd4f94794843fed306c3caaf3</x:v>
      </x:c>
    </x:row>
    <x:row r="60" ht="22" customHeight="1">
      <x:c r="A60" s="9" t="n">
        <x:v>54</x:v>
      </x:c>
      <x:c r="B60" s="9" t="str">
        <x:v>s10_c01</x:v>
      </x:c>
      <x:c r="C60" s="9" t="str">
        <x:v>take_01</x:v>
      </x:c>
      <x:c r="D60" s="9" t="str">
        <x:v>succeeded</x:v>
      </x:c>
      <x:c r="E60" s="9" t="str">
        <x:v>Selected source</x:v>
      </x:c>
      <x:c r="F60" s="11" t="d">
        <x:v>2026-10-15T14:04:43.268Z</x:v>
      </x:c>
      <x:c r="G60" s="9" t="str">
        <x:v>dreamina-seedance-2-5-260628</x:v>
      </x:c>
      <x:c r="H60" s="9" t="str">
        <x:v>480p</x:v>
      </x:c>
      <x:c r="I60" s="13" t="n">
        <x:v>21</x:v>
      </x:c>
      <x:c r="J60" s="15" t="n">
        <x:v>21.04</x:v>
      </x:c>
      <x:c r="K60" s="17" t="n">
        <x:v>202157</x:v>
      </x:c>
      <x:c r="L60" s="17" t="n">
        <x:f>IF(D60="succeeded",I60,0)</x:f>
        <x:v>21</x:v>
      </x:c>
      <x:c r="M60" s="17" t="n">
        <x:v>0</x:v>
      </x:c>
      <x:c r="N60" s="19" t="n">
        <x:v>2.1630799</x:v>
      </x:c>
      <x:c r="O60" s="19" t="n">
        <x:f>IF(D60="succeeded",K60*'Summary'!$F$5/'Summary'!$F$6,0)</x:f>
        <x:v>2.1630799</x:v>
      </x:c>
      <x:c r="P60" s="21" t="n">
        <x:f>O60*'Summary'!$F$7</x:f>
        <x:v>16.973687975300003</x:v>
      </x:c>
      <x:c r="Q60" s="9" t="str"/>
      <x:c r="R60" s="9" t="str">
        <x:v>cgt-20261015140446-u8dks</x:v>
      </x:c>
      <x:c r="S60" s="9" t="str">
        <x:v>attempt_6ab76f24c8084361b21e17b11e4d5e91</x:v>
      </x:c>
    </x:row>
    <x:row r="61" ht="22" customHeight="1">
      <x:c r="A61" s="2" t="n">
        <x:v>55</x:v>
      </x:c>
      <x:c r="B61" s="2" t="str">
        <x:v>s10_c02</x:v>
      </x:c>
      <x:c r="C61" s="2" t="str">
        <x:v>take_01</x:v>
      </x:c>
      <x:c r="D61" s="2" t="str">
        <x:v>succeeded</x:v>
      </x:c>
      <x:c r="E61" s="2" t="str">
        <x:v>Selected source</x:v>
      </x:c>
      <x:c r="F61" s="10" t="d">
        <x:v>2026-10-15T14:06:11.923Z</x:v>
      </x:c>
      <x:c r="G61" s="2" t="str">
        <x:v>dreamina-seedance-2-5-260628</x:v>
      </x:c>
      <x:c r="H61" s="2" t="str">
        <x:v>480p</x:v>
      </x:c>
      <x:c r="I61" s="12" t="n">
        <x:v>15</x:v>
      </x:c>
      <x:c r="J61" s="14" t="n">
        <x:v>15.07</x:v>
      </x:c>
      <x:c r="K61" s="16" t="n">
        <x:v>144512</x:v>
      </x:c>
      <x:c r="L61" s="16" t="n">
        <x:f>IF(D61="succeeded",I61,0)</x:f>
        <x:v>15</x:v>
      </x:c>
      <x:c r="M61" s="16" t="n">
        <x:v>0</x:v>
      </x:c>
      <x:c r="N61" s="18" t="n">
        <x:v>1.5462784</x:v>
      </x:c>
      <x:c r="O61" s="18" t="n">
        <x:f>IF(D61="succeeded",K61*'Summary'!$F$5/'Summary'!$F$6,0)</x:f>
        <x:v>1.5462783999999998</x:v>
      </x:c>
      <x:c r="P61" s="20" t="n">
        <x:f>O61*'Summary'!$F$7</x:f>
        <x:v>12.1336466048</x:v>
      </x:c>
      <x:c r="Q61" s="2" t="str"/>
      <x:c r="R61" s="2" t="str">
        <x:v>cgt-20261015140615-w4wr5</x:v>
      </x:c>
      <x:c r="S61" s="2" t="str">
        <x:v>attempt_f591aa9162fe402c927e2692e292893d</x:v>
      </x:c>
    </x:row>
    <x:row r="62" ht="22" customHeight="1">
      <x:c r="A62" s="9" t="n">
        <x:v>56</x:v>
      </x:c>
      <x:c r="B62" s="9" t="str">
        <x:v>s10_c03</x:v>
      </x:c>
      <x:c r="C62" s="9" t="str">
        <x:v>take_01</x:v>
      </x:c>
      <x:c r="D62" s="9" t="str">
        <x:v>succeeded</x:v>
      </x:c>
      <x:c r="E62" s="9" t="str">
        <x:v>Selected source</x:v>
      </x:c>
      <x:c r="F62" s="11" t="d">
        <x:v>2026-10-15T14:06:20.038Z</x:v>
      </x:c>
      <x:c r="G62" s="9" t="str">
        <x:v>dreamina-seedance-2-5-260628</x:v>
      </x:c>
      <x:c r="H62" s="9" t="str">
        <x:v>480p</x:v>
      </x:c>
      <x:c r="I62" s="13" t="n">
        <x:v>18</x:v>
      </x:c>
      <x:c r="J62" s="15" t="n">
        <x:v>18.08</x:v>
      </x:c>
      <x:c r="K62" s="17" t="n">
        <x:v>173335</x:v>
      </x:c>
      <x:c r="L62" s="17" t="n">
        <x:f>IF(D62="succeeded",I62,0)</x:f>
        <x:v>18</x:v>
      </x:c>
      <x:c r="M62" s="17" t="n">
        <x:v>0</x:v>
      </x:c>
      <x:c r="N62" s="19" t="n">
        <x:v>1.8546845</x:v>
      </x:c>
      <x:c r="O62" s="19" t="n">
        <x:f>IF(D62="succeeded",K62*'Summary'!$F$5/'Summary'!$F$6,0)</x:f>
        <x:v>1.8546844999999998</x:v>
      </x:c>
      <x:c r="P62" s="21" t="n">
        <x:f>O62*'Summary'!$F$7</x:f>
        <x:v>14.553709271499999</x:v>
      </x:c>
      <x:c r="Q62" s="9" t="str"/>
      <x:c r="R62" s="9" t="str">
        <x:v>cgt-20261015140623-sy70f</x:v>
      </x:c>
      <x:c r="S62" s="9" t="str">
        <x:v>attempt_80b6cc50e027477fa9f8864cf4596d09</x:v>
      </x:c>
    </x:row>
    <x:row r="63" ht="22" customHeight="1">
      <x:c r="A63" s="2" t="n">
        <x:v>57</x:v>
      </x:c>
      <x:c r="B63" s="2" t="str">
        <x:v>s10_c04</x:v>
      </x:c>
      <x:c r="C63" s="2" t="str">
        <x:v>take_01</x:v>
      </x:c>
      <x:c r="D63" s="2" t="str">
        <x:v>succeeded</x:v>
      </x:c>
      <x:c r="E63" s="2" t="str">
        <x:v>Selected source</x:v>
      </x:c>
      <x:c r="F63" s="10" t="d">
        <x:v>2026-10-15T14:06:28.202Z</x:v>
      </x:c>
      <x:c r="G63" s="2" t="str">
        <x:v>dreamina-seedance-2-5-260628</x:v>
      </x:c>
      <x:c r="H63" s="2" t="str">
        <x:v>480p</x:v>
      </x:c>
      <x:c r="I63" s="12" t="n">
        <x:v>22</x:v>
      </x:c>
      <x:c r="J63" s="14" t="n">
        <x:v>22.08</x:v>
      </x:c>
      <x:c r="K63" s="16" t="n">
        <x:v>211765</x:v>
      </x:c>
      <x:c r="L63" s="16" t="n">
        <x:f>IF(D63="succeeded",I63,0)</x:f>
        <x:v>22</x:v>
      </x:c>
      <x:c r="M63" s="16" t="n">
        <x:v>0</x:v>
      </x:c>
      <x:c r="N63" s="18" t="n">
        <x:v>2.2658855</x:v>
      </x:c>
      <x:c r="O63" s="18" t="n">
        <x:f>IF(D63="succeeded",K63*'Summary'!$F$5/'Summary'!$F$6,0)</x:f>
        <x:v>2.2658855</x:v>
      </x:c>
      <x:c r="P63" s="20" t="n">
        <x:f>O63*'Summary'!$F$7</x:f>
        <x:v>17.780403518500002</x:v>
      </x:c>
      <x:c r="Q63" s="2" t="str"/>
      <x:c r="R63" s="2" t="str">
        <x:v>cgt-20261015140631-43b9p</x:v>
      </x:c>
      <x:c r="S63" s="2" t="str">
        <x:v>attempt_a6f6b4f563c14cd3b14b8993aa6b72b2</x:v>
      </x:c>
    </x:row>
    <x:row r="64" ht="22" customHeight="1">
      <x:c r="A64" s="9" t="n">
        <x:v>58</x:v>
      </x:c>
      <x:c r="B64" s="9" t="str">
        <x:v>s10_c05</x:v>
      </x:c>
      <x:c r="C64" s="9" t="str">
        <x:v>take_01</x:v>
      </x:c>
      <x:c r="D64" s="9" t="str">
        <x:v>succeeded</x:v>
      </x:c>
      <x:c r="E64" s="9" t="str">
        <x:v>Selected source</x:v>
      </x:c>
      <x:c r="F64" s="11" t="d">
        <x:v>2026-10-15T14:06:36.513Z</x:v>
      </x:c>
      <x:c r="G64" s="9" t="str">
        <x:v>dreamina-seedance-2-5-260628</x:v>
      </x:c>
      <x:c r="H64" s="9" t="str">
        <x:v>480p</x:v>
      </x:c>
      <x:c r="I64" s="13" t="n">
        <x:v>14</x:v>
      </x:c>
      <x:c r="J64" s="15" t="n">
        <x:v>14.08</x:v>
      </x:c>
      <x:c r="K64" s="17" t="n">
        <x:v>134905</x:v>
      </x:c>
      <x:c r="L64" s="17" t="n">
        <x:f>IF(D64="succeeded",I64,0)</x:f>
        <x:v>14</x:v>
      </x:c>
      <x:c r="M64" s="17" t="n">
        <x:v>0</x:v>
      </x:c>
      <x:c r="N64" s="19" t="n">
        <x:v>1.4434835</x:v>
      </x:c>
      <x:c r="O64" s="19" t="n">
        <x:f>IF(D64="succeeded",K64*'Summary'!$F$5/'Summary'!$F$6,0)</x:f>
        <x:v>1.4434835</x:v>
      </x:c>
      <x:c r="P64" s="21" t="n">
        <x:f>O64*'Summary'!$F$7</x:f>
        <x:v>11.3270150245</x:v>
      </x:c>
      <x:c r="Q64" s="9" t="str"/>
      <x:c r="R64" s="9" t="str">
        <x:v>cgt-20261015140640-ykkrs</x:v>
      </x:c>
      <x:c r="S64" s="9" t="str">
        <x:v>attempt_0dc966f62d5d449aaea8acdf3880f9f5</x:v>
      </x:c>
    </x:row>
    <x:row r="65" ht="22" customHeight="1">
      <x:c r="A65" s="2" t="n">
        <x:v>59</x:v>
      </x:c>
      <x:c r="B65" s="2" t="str">
        <x:v>s11_c01</x:v>
      </x:c>
      <x:c r="C65" s="2" t="str">
        <x:v>take_01</x:v>
      </x:c>
      <x:c r="D65" s="2" t="str">
        <x:v>succeeded</x:v>
      </x:c>
      <x:c r="E65" s="2" t="str">
        <x:v>Selected source</x:v>
      </x:c>
      <x:c r="F65" s="10" t="d">
        <x:v>2026-10-15T14:06:44.404Z</x:v>
      </x:c>
      <x:c r="G65" s="2" t="str">
        <x:v>dreamina-seedance-2-5-260628</x:v>
      </x:c>
      <x:c r="H65" s="2" t="str">
        <x:v>480p</x:v>
      </x:c>
      <x:c r="I65" s="12" t="n">
        <x:v>24</x:v>
      </x:c>
      <x:c r="J65" s="14" t="n">
        <x:v>24.06</x:v>
      </x:c>
      <x:c r="K65" s="16" t="n">
        <x:v>230980</x:v>
      </x:c>
      <x:c r="L65" s="16" t="n">
        <x:f>IF(D65="succeeded",I65,0)</x:f>
        <x:v>24</x:v>
      </x:c>
      <x:c r="M65" s="16" t="n">
        <x:v>0</x:v>
      </x:c>
      <x:c r="N65" s="18" t="n">
        <x:v>2.471486</x:v>
      </x:c>
      <x:c r="O65" s="18" t="n">
        <x:f>IF(D65="succeeded",K65*'Summary'!$F$5/'Summary'!$F$6,0)</x:f>
        <x:v>2.471486</x:v>
      </x:c>
      <x:c r="P65" s="20" t="n">
        <x:f>O65*'Summary'!$F$7</x:f>
        <x:v>19.393750642</x:v>
      </x:c>
      <x:c r="Q65" s="2" t="str"/>
      <x:c r="R65" s="2" t="str">
        <x:v>cgt-20261015140648-40nsm</x:v>
      </x:c>
      <x:c r="S65" s="2" t="str">
        <x:v>attempt_627264efe40c40d1a42d547b57f1ce90</x:v>
      </x:c>
    </x:row>
    <x:row r="66" ht="22" customHeight="1">
      <x:c r="A66" s="9" t="n">
        <x:v>60</x:v>
      </x:c>
      <x:c r="B66" s="9" t="str">
        <x:v>s11_c02</x:v>
      </x:c>
      <x:c r="C66" s="9" t="str">
        <x:v>take_01</x:v>
      </x:c>
      <x:c r="D66" s="9" t="str">
        <x:v>succeeded</x:v>
      </x:c>
      <x:c r="E66" s="9" t="str">
        <x:v>Selected source</x:v>
      </x:c>
      <x:c r="F66" s="11" t="d">
        <x:v>2026-10-15T14:06:52.806Z</x:v>
      </x:c>
      <x:c r="G66" s="9" t="str">
        <x:v>dreamina-seedance-2-5-260628</x:v>
      </x:c>
      <x:c r="H66" s="9" t="str">
        <x:v>480p</x:v>
      </x:c>
      <x:c r="I66" s="13" t="n">
        <x:v>21</x:v>
      </x:c>
      <x:c r="J66" s="15" t="n">
        <x:v>21.06</x:v>
      </x:c>
      <x:c r="K66" s="17" t="n">
        <x:v>202157</x:v>
      </x:c>
      <x:c r="L66" s="17" t="n">
        <x:f>IF(D66="succeeded",I66,0)</x:f>
        <x:v>21</x:v>
      </x:c>
      <x:c r="M66" s="17" t="n">
        <x:v>0</x:v>
      </x:c>
      <x:c r="N66" s="19" t="n">
        <x:v>2.1630799</x:v>
      </x:c>
      <x:c r="O66" s="19" t="n">
        <x:f>IF(D66="succeeded",K66*'Summary'!$F$5/'Summary'!$F$6,0)</x:f>
        <x:v>2.1630799</x:v>
      </x:c>
      <x:c r="P66" s="21" t="n">
        <x:f>O66*'Summary'!$F$7</x:f>
        <x:v>16.973687975300003</x:v>
      </x:c>
      <x:c r="Q66" s="9" t="str"/>
      <x:c r="R66" s="9" t="str">
        <x:v>cgt-20261015140656-minjn</x:v>
      </x:c>
      <x:c r="S66" s="9" t="str">
        <x:v>attempt_29637edfd35a42de82bf60beefc12554</x:v>
      </x:c>
    </x:row>
    <x:row r="67" ht="22" customHeight="1">
      <x:c r="A67" s="2" t="n">
        <x:v>61</x:v>
      </x:c>
      <x:c r="B67" s="2" t="str">
        <x:v>s12_c01</x:v>
      </x:c>
      <x:c r="C67" s="2" t="str">
        <x:v>take_01</x:v>
      </x:c>
      <x:c r="D67" s="2" t="str">
        <x:v>succeeded</x:v>
      </x:c>
      <x:c r="E67" s="2" t="str">
        <x:v>Selected source</x:v>
      </x:c>
      <x:c r="F67" s="10" t="d">
        <x:v>2026-10-15T14:08:00.093Z</x:v>
      </x:c>
      <x:c r="G67" s="2" t="str">
        <x:v>dreamina-seedance-2-5-260628</x:v>
      </x:c>
      <x:c r="H67" s="2" t="str">
        <x:v>480p</x:v>
      </x:c>
      <x:c r="I67" s="12" t="n">
        <x:v>15</x:v>
      </x:c>
      <x:c r="J67" s="14" t="n">
        <x:v>15.07</x:v>
      </x:c>
      <x:c r="K67" s="16" t="n">
        <x:v>144512</x:v>
      </x:c>
      <x:c r="L67" s="16" t="n">
        <x:f>IF(D67="succeeded",I67,0)</x:f>
        <x:v>15</x:v>
      </x:c>
      <x:c r="M67" s="16" t="n">
        <x:v>0</x:v>
      </x:c>
      <x:c r="N67" s="18" t="n">
        <x:v>1.5462784</x:v>
      </x:c>
      <x:c r="O67" s="18" t="n">
        <x:f>IF(D67="succeeded",K67*'Summary'!$F$5/'Summary'!$F$6,0)</x:f>
        <x:v>1.5462783999999998</x:v>
      </x:c>
      <x:c r="P67" s="20" t="n">
        <x:f>O67*'Summary'!$F$7</x:f>
        <x:v>12.1336466048</x:v>
      </x:c>
      <x:c r="Q67" s="2" t="str"/>
      <x:c r="R67" s="2" t="str">
        <x:v>cgt-20261015140804-zlklj</x:v>
      </x:c>
      <x:c r="S67" s="2" t="str">
        <x:v>attempt_a7961638b58b4c15a7931851404aa89d</x:v>
      </x:c>
    </x:row>
    <x:row r="68" ht="22" customHeight="1">
      <x:c r="A68" s="9" t="n">
        <x:v>62</x:v>
      </x:c>
      <x:c r="B68" s="9" t="str">
        <x:v>s12_c02</x:v>
      </x:c>
      <x:c r="C68" s="9" t="str">
        <x:v>take_01</x:v>
      </x:c>
      <x:c r="D68" s="9" t="str">
        <x:v>rejected</x:v>
      </x:c>
      <x:c r="E68" s="9" t="str">
        <x:v>No video</x:v>
      </x:c>
      <x:c r="F68" s="11" t="d">
        <x:v>2026-10-15T13:24:49.729Z</x:v>
      </x:c>
      <x:c r="G68" s="9" t="str">
        <x:v>dreamina-seedance-2-5-260628</x:v>
      </x:c>
      <x:c r="H68" s="9" t="str">
        <x:v>480p</x:v>
      </x:c>
      <x:c r="I68" s="13" t="n">
        <x:v>22</x:v>
      </x:c>
      <x:c r="J68" s="15"/>
      <x:c r="K68" s="17"/>
      <x:c r="L68" s="17" t="n">
        <x:f>IF(D68="succeeded",I68,0)</x:f>
        <x:v>0</x:v>
      </x:c>
      <x:c r="M68" s="17" t="n">
        <x:v>0</x:v>
      </x:c>
      <x:c r="N68" s="19" t="n">
        <x:v>0</x:v>
      </x:c>
      <x:c r="O68" s="19" t="n">
        <x:f>IF(D68="succeeded",K68*'Summary'!$F$5/'Summary'!$F$6,0)</x:f>
        <x:v>0</x:v>
      </x:c>
      <x:c r="P68" s="21" t="n">
        <x:f>O68*'Summary'!$F$7</x:f>
        <x:v>0</x:v>
      </x:c>
      <x:c r="Q68" s="9" t="str">
        <x:v>InputImageSensitiveContentDetected.PrivacyInformation</x:v>
      </x:c>
      <x:c r="R68" s="9"/>
      <x:c r="S68" s="9" t="str">
        <x:v>attempt_d4f1fda1ca3342cdb87f7f0ee9e6e699</x:v>
      </x:c>
    </x:row>
    <x:row r="69" ht="22" customHeight="1">
      <x:c r="A69" s="2" t="n">
        <x:v>63</x:v>
      </x:c>
      <x:c r="B69" s="2" t="str">
        <x:v>s12_c02</x:v>
      </x:c>
      <x:c r="C69" s="2" t="str">
        <x:v>take_02</x:v>
      </x:c>
      <x:c r="D69" s="2" t="str">
        <x:v>failed</x:v>
      </x:c>
      <x:c r="E69" s="2" t="str">
        <x:v>No video</x:v>
      </x:c>
      <x:c r="F69" s="10" t="d">
        <x:v>2026-10-15T13:53:05.350Z</x:v>
      </x:c>
      <x:c r="G69" s="2" t="str">
        <x:v>dreamina-seedance-2-5-260628</x:v>
      </x:c>
      <x:c r="H69" s="2" t="str">
        <x:v>480p</x:v>
      </x:c>
      <x:c r="I69" s="12" t="n">
        <x:v>22</x:v>
      </x:c>
      <x:c r="J69" s="14"/>
      <x:c r="K69" s="16"/>
      <x:c r="L69" s="16" t="n">
        <x:f>IF(D69="succeeded",I69,0)</x:f>
        <x:v>0</x:v>
      </x:c>
      <x:c r="M69" s="16" t="n">
        <x:v>0</x:v>
      </x:c>
      <x:c r="N69" s="18" t="n">
        <x:v>0</x:v>
      </x:c>
      <x:c r="O69" s="18" t="n">
        <x:f>IF(D69="succeeded",K69*'Summary'!$F$5/'Summary'!$F$6,0)</x:f>
        <x:v>0</x:v>
      </x:c>
      <x:c r="P69" s="20" t="n">
        <x:f>O69*'Summary'!$F$7</x:f>
        <x:v>0</x:v>
      </x:c>
      <x:c r="Q69" s="2" t="str">
        <x:v>OutputVideoSensitiveContentDetected.PolicyViolation</x:v>
      </x:c>
      <x:c r="R69" s="2" t="str">
        <x:v>cgt-20261015135308-kawjf</x:v>
      </x:c>
      <x:c r="S69" s="2" t="str">
        <x:v>attempt_0a7516a33ab84cea89520d3fc95ec49b</x:v>
      </x:c>
    </x:row>
    <x:row r="70" ht="22" customHeight="1">
      <x:c r="A70" s="9" t="n">
        <x:v>64</x:v>
      </x:c>
      <x:c r="B70" s="9" t="str">
        <x:v>s12_c02</x:v>
      </x:c>
      <x:c r="C70" s="9" t="str">
        <x:v>take_03</x:v>
      </x:c>
      <x:c r="D70" s="9" t="str">
        <x:v>failed</x:v>
      </x:c>
      <x:c r="E70" s="9" t="str">
        <x:v>No video</x:v>
      </x:c>
      <x:c r="F70" s="11" t="d">
        <x:v>2026-10-15T14:08:10.030Z</x:v>
      </x:c>
      <x:c r="G70" s="9" t="str">
        <x:v>dreamina-seedance-2-5-260628</x:v>
      </x:c>
      <x:c r="H70" s="9" t="str">
        <x:v>480p</x:v>
      </x:c>
      <x:c r="I70" s="13" t="n">
        <x:v>22</x:v>
      </x:c>
      <x:c r="J70" s="15"/>
      <x:c r="K70" s="17"/>
      <x:c r="L70" s="17" t="n">
        <x:f>IF(D70="succeeded",I70,0)</x:f>
        <x:v>0</x:v>
      </x:c>
      <x:c r="M70" s="17" t="n">
        <x:v>0</x:v>
      </x:c>
      <x:c r="N70" s="19" t="n">
        <x:v>0</x:v>
      </x:c>
      <x:c r="O70" s="19" t="n">
        <x:f>IF(D70="succeeded",K70*'Summary'!$F$5/'Summary'!$F$6,0)</x:f>
        <x:v>0</x:v>
      </x:c>
      <x:c r="P70" s="21" t="n">
        <x:f>O70*'Summary'!$F$7</x:f>
        <x:v>0</x:v>
      </x:c>
      <x:c r="Q70" s="9" t="str">
        <x:v>OutputVideoSensitiveContentDetected.PolicyViolation</x:v>
      </x:c>
      <x:c r="R70" s="9" t="str">
        <x:v>cgt-20261015140813-paex5</x:v>
      </x:c>
      <x:c r="S70" s="9" t="str">
        <x:v>attempt_95f55b1f8f404b48a286446ae0280147</x:v>
      </x:c>
    </x:row>
    <x:row r="71" ht="22" customHeight="1">
      <x:c r="A71" s="2" t="n">
        <x:v>65</x:v>
      </x:c>
      <x:c r="B71" s="2" t="str">
        <x:v>s12_c02</x:v>
      </x:c>
      <x:c r="C71" s="2" t="str">
        <x:v>take_04</x:v>
      </x:c>
      <x:c r="D71" s="2" t="str">
        <x:v>succeeded</x:v>
      </x:c>
      <x:c r="E71" s="2" t="str">
        <x:v>Selected source</x:v>
      </x:c>
      <x:c r="F71" s="10" t="d">
        <x:v>2026-10-15T14:16:33.631Z</x:v>
      </x:c>
      <x:c r="G71" s="2" t="str">
        <x:v>dreamina-seedance-2-5-260628</x:v>
      </x:c>
      <x:c r="H71" s="2" t="str">
        <x:v>480p</x:v>
      </x:c>
      <x:c r="I71" s="12" t="n">
        <x:v>22</x:v>
      </x:c>
      <x:c r="J71" s="14" t="n">
        <x:v>22.04</x:v>
      </x:c>
      <x:c r="K71" s="16" t="n">
        <x:v>211765</x:v>
      </x:c>
      <x:c r="L71" s="16" t="n">
        <x:f>IF(D71="succeeded",I71,0)</x:f>
        <x:v>22</x:v>
      </x:c>
      <x:c r="M71" s="16" t="n">
        <x:v>0</x:v>
      </x:c>
      <x:c r="N71" s="18" t="n">
        <x:v>2.2658855</x:v>
      </x:c>
      <x:c r="O71" s="18" t="n">
        <x:f>IF(D71="succeeded",K71*'Summary'!$F$5/'Summary'!$F$6,0)</x:f>
        <x:v>2.2658855</x:v>
      </x:c>
      <x:c r="P71" s="20" t="n">
        <x:f>O71*'Summary'!$F$7</x:f>
        <x:v>17.780403518500002</x:v>
      </x:c>
      <x:c r="Q71" s="2" t="str"/>
      <x:c r="R71" s="2" t="str">
        <x:v>cgt-20261015141636-b5udy</x:v>
      </x:c>
      <x:c r="S71" s="2" t="str">
        <x:v>attempt_eda6dfd461df4ce49b28b6ac39e49cc8</x:v>
      </x:c>
    </x:row>
    <x:row r="72" ht="22" customHeight="1">
      <x:c r="A72" s="9" t="n">
        <x:v>66</x:v>
      </x:c>
      <x:c r="B72" s="9" t="str">
        <x:v>s12_c03</x:v>
      </x:c>
      <x:c r="C72" s="9" t="str">
        <x:v>take_01</x:v>
      </x:c>
      <x:c r="D72" s="9" t="str">
        <x:v>succeeded</x:v>
      </x:c>
      <x:c r="E72" s="9" t="str">
        <x:v>Selected source</x:v>
      </x:c>
      <x:c r="F72" s="11" t="d">
        <x:v>2026-10-15T14:08:17.858Z</x:v>
      </x:c>
      <x:c r="G72" s="9" t="str">
        <x:v>dreamina-seedance-2-5-260628</x:v>
      </x:c>
      <x:c r="H72" s="9" t="str">
        <x:v>480p</x:v>
      </x:c>
      <x:c r="I72" s="13" t="n">
        <x:v>13</x:v>
      </x:c>
      <x:c r="J72" s="15" t="n">
        <x:v>13.06</x:v>
      </x:c>
      <x:c r="K72" s="17" t="n">
        <x:v>125297</x:v>
      </x:c>
      <x:c r="L72" s="17" t="n">
        <x:f>IF(D72="succeeded",I72,0)</x:f>
        <x:v>13</x:v>
      </x:c>
      <x:c r="M72" s="17" t="n">
        <x:v>0</x:v>
      </x:c>
      <x:c r="N72" s="19" t="n">
        <x:v>1.3406779</x:v>
      </x:c>
      <x:c r="O72" s="19" t="n">
        <x:f>IF(D72="succeeded",K72*'Summary'!$F$5/'Summary'!$F$6,0)</x:f>
        <x:v>1.3406779</x:v>
      </x:c>
      <x:c r="P72" s="21" t="n">
        <x:f>O72*'Summary'!$F$7</x:f>
        <x:v>10.5202994813</x:v>
      </x:c>
      <x:c r="Q72" s="9" t="str"/>
      <x:c r="R72" s="9" t="str">
        <x:v>cgt-20261015140821-d7w64</x:v>
      </x:c>
      <x:c r="S72" s="9" t="str">
        <x:v>attempt_ddbadd33018449d5945a928b976f60a6</x:v>
      </x:c>
    </x:row>
    <x:row r="73" ht="22" customHeight="1">
      <x:c r="A73" s="2" t="n">
        <x:v>67</x:v>
      </x:c>
      <x:c r="B73" s="2" t="str">
        <x:v>s12_c04</x:v>
      </x:c>
      <x:c r="C73" s="2" t="str">
        <x:v>take_01</x:v>
      </x:c>
      <x:c r="D73" s="2" t="str">
        <x:v>succeeded</x:v>
      </x:c>
      <x:c r="E73" s="2" t="str">
        <x:v>Selected source</x:v>
      </x:c>
      <x:c r="F73" s="10" t="d">
        <x:v>2026-10-15T14:10:07.402Z</x:v>
      </x:c>
      <x:c r="G73" s="2" t="str">
        <x:v>dreamina-seedance-2-5-260628</x:v>
      </x:c>
      <x:c r="H73" s="2" t="str">
        <x:v>480p</x:v>
      </x:c>
      <x:c r="I73" s="12" t="n">
        <x:v>20</x:v>
      </x:c>
      <x:c r="J73" s="14" t="n">
        <x:v>20.06</x:v>
      </x:c>
      <x:c r="K73" s="16" t="n">
        <x:v>192550</x:v>
      </x:c>
      <x:c r="L73" s="16" t="n">
        <x:f>IF(D73="succeeded",I73,0)</x:f>
        <x:v>20</x:v>
      </x:c>
      <x:c r="M73" s="16" t="n">
        <x:v>0</x:v>
      </x:c>
      <x:c r="N73" s="18" t="n">
        <x:v>2.060285</x:v>
      </x:c>
      <x:c r="O73" s="18" t="n">
        <x:f>IF(D73="succeeded",K73*'Summary'!$F$5/'Summary'!$F$6,0)</x:f>
        <x:v>2.060285</x:v>
      </x:c>
      <x:c r="P73" s="20" t="n">
        <x:f>O73*'Summary'!$F$7</x:f>
        <x:v>16.167056395</x:v>
      </x:c>
      <x:c r="Q73" s="2" t="str"/>
      <x:c r="R73" s="2" t="str">
        <x:v>cgt-20261015141010-u3ks1</x:v>
      </x:c>
      <x:c r="S73" s="2" t="str">
        <x:v>attempt_e704d3fb32ac4892b3ce4085d3238d89</x:v>
      </x:c>
    </x:row>
    <x:row r="74" ht="22" customHeight="1">
      <x:c r="A74" s="9" t="n">
        <x:v>68</x:v>
      </x:c>
      <x:c r="B74" s="9" t="str">
        <x:v>s13_c01</x:v>
      </x:c>
      <x:c r="C74" s="9" t="str">
        <x:v>take_01</x:v>
      </x:c>
      <x:c r="D74" s="9" t="str">
        <x:v>succeeded</x:v>
      </x:c>
      <x:c r="E74" s="9" t="str">
        <x:v>Superseded video</x:v>
      </x:c>
      <x:c r="F74" s="11" t="d">
        <x:v>2026-10-15T14:10:15.066Z</x:v>
      </x:c>
      <x:c r="G74" s="9" t="str">
        <x:v>dreamina-seedance-2-5-260628</x:v>
      </x:c>
      <x:c r="H74" s="9" t="str">
        <x:v>480p</x:v>
      </x:c>
      <x:c r="I74" s="13" t="n">
        <x:v>13</x:v>
      </x:c>
      <x:c r="J74" s="15" t="n">
        <x:v>13.06</x:v>
      </x:c>
      <x:c r="K74" s="17" t="n">
        <x:v>125297</x:v>
      </x:c>
      <x:c r="L74" s="17" t="n">
        <x:f>IF(D74="succeeded",I74,0)</x:f>
        <x:v>13</x:v>
      </x:c>
      <x:c r="M74" s="17" t="n">
        <x:v>0</x:v>
      </x:c>
      <x:c r="N74" s="19" t="n">
        <x:v>1.3406779</x:v>
      </x:c>
      <x:c r="O74" s="19" t="n">
        <x:f>IF(D74="succeeded",K74*'Summary'!$F$5/'Summary'!$F$6,0)</x:f>
        <x:v>1.3406779</x:v>
      </x:c>
      <x:c r="P74" s="21" t="n">
        <x:f>O74*'Summary'!$F$7</x:f>
        <x:v>10.5202994813</x:v>
      </x:c>
      <x:c r="Q74" s="9" t="str"/>
      <x:c r="R74" s="9" t="str">
        <x:v>cgt-20261015141019-mh405</x:v>
      </x:c>
      <x:c r="S74" s="9" t="str">
        <x:v>attempt_e69f3c4da7e14f408934fddfbe5eb270</x:v>
      </x:c>
    </x:row>
    <x:row r="75" ht="22" customHeight="1">
      <x:c r="A75" s="2" t="n">
        <x:v>69</x:v>
      </x:c>
      <x:c r="B75" s="2" t="str">
        <x:v>s13_c01</x:v>
      </x:c>
      <x:c r="C75" s="2" t="str">
        <x:v>take_02</x:v>
      </x:c>
      <x:c r="D75" s="2" t="str">
        <x:v>succeeded</x:v>
      </x:c>
      <x:c r="E75" s="2" t="str">
        <x:v>Selected source</x:v>
      </x:c>
      <x:c r="F75" s="10" t="d">
        <x:v>2026-10-15T14:27:42.630Z</x:v>
      </x:c>
      <x:c r="G75" s="2" t="str">
        <x:v>dreamina-seedance-2-5-260628</x:v>
      </x:c>
      <x:c r="H75" s="2" t="str">
        <x:v>480p</x:v>
      </x:c>
      <x:c r="I75" s="12" t="n">
        <x:v>13</x:v>
      </x:c>
      <x:c r="J75" s="14" t="n">
        <x:v>13.06</x:v>
      </x:c>
      <x:c r="K75" s="16" t="n">
        <x:v>125297</x:v>
      </x:c>
      <x:c r="L75" s="16" t="n">
        <x:f>IF(D75="succeeded",I75,0)</x:f>
        <x:v>13</x:v>
      </x:c>
      <x:c r="M75" s="16" t="n">
        <x:v>0</x:v>
      </x:c>
      <x:c r="N75" s="18" t="n">
        <x:v>1.3406779</x:v>
      </x:c>
      <x:c r="O75" s="18" t="n">
        <x:f>IF(D75="succeeded",K75*'Summary'!$F$5/'Summary'!$F$6,0)</x:f>
        <x:v>1.3406779</x:v>
      </x:c>
      <x:c r="P75" s="20" t="n">
        <x:f>O75*'Summary'!$F$7</x:f>
        <x:v>10.5202994813</x:v>
      </x:c>
      <x:c r="Q75" s="2" t="str"/>
      <x:c r="R75" s="2" t="str">
        <x:v>cgt-20261015142746-fcqlu</x:v>
      </x:c>
      <x:c r="S75" s="2" t="str">
        <x:v>attempt_c416daaecbca4a80984a7d91609d773f</x:v>
      </x:c>
    </x:row>
    <x:row r="76" ht="22" customHeight="1">
      <x:c r="A76" s="9" t="n">
        <x:v>70</x:v>
      </x:c>
      <x:c r="B76" s="9" t="str">
        <x:v>s13_c02</x:v>
      </x:c>
      <x:c r="C76" s="9" t="str">
        <x:v>take_01</x:v>
      </x:c>
      <x:c r="D76" s="9" t="str">
        <x:v>succeeded</x:v>
      </x:c>
      <x:c r="E76" s="9" t="str">
        <x:v>Selected source</x:v>
      </x:c>
      <x:c r="F76" s="11" t="d">
        <x:v>2026-10-15T13:33:06.910Z</x:v>
      </x:c>
      <x:c r="G76" s="9" t="str">
        <x:v>dreamina-seedance-2-5-260628</x:v>
      </x:c>
      <x:c r="H76" s="9" t="str">
        <x:v>480p</x:v>
      </x:c>
      <x:c r="I76" s="13" t="n">
        <x:v>17</x:v>
      </x:c>
      <x:c r="J76" s="15" t="n">
        <x:v>17.06</x:v>
      </x:c>
      <x:c r="K76" s="17" t="n">
        <x:v>163727</x:v>
      </x:c>
      <x:c r="L76" s="17" t="n">
        <x:f>IF(D76="succeeded",I76,0)</x:f>
        <x:v>17</x:v>
      </x:c>
      <x:c r="M76" s="17" t="n">
        <x:v>0</x:v>
      </x:c>
      <x:c r="N76" s="19" t="n">
        <x:v>1.7518789</x:v>
      </x:c>
      <x:c r="O76" s="19" t="n">
        <x:f>IF(D76="succeeded",K76*'Summary'!$F$5/'Summary'!$F$6,0)</x:f>
        <x:v>1.7518789</x:v>
      </x:c>
      <x:c r="P76" s="21" t="n">
        <x:f>O76*'Summary'!$F$7</x:f>
        <x:v>13.7469937283</x:v>
      </x:c>
      <x:c r="Q76" s="9" t="str"/>
      <x:c r="R76" s="9" t="str">
        <x:v>cgt-20261015133310-j52bs</x:v>
      </x:c>
      <x:c r="S76" s="9" t="str">
        <x:v>attempt_40b76ee2d382400dae52b61fea90ac4b</x:v>
      </x:c>
    </x:row>
    <x:row r="77" ht="22" customHeight="1">
      <x:c r="A77" s="2" t="n">
        <x:v>71</x:v>
      </x:c>
      <x:c r="B77" s="2" t="str">
        <x:v>s13_c03</x:v>
      </x:c>
      <x:c r="C77" s="2" t="str">
        <x:v>take_01</x:v>
      </x:c>
      <x:c r="D77" s="2" t="str">
        <x:v>succeeded</x:v>
      </x:c>
      <x:c r="E77" s="2" t="str">
        <x:v>Selected source</x:v>
      </x:c>
      <x:c r="F77" s="10" t="d">
        <x:v>2026-10-15T14:11:25.099Z</x:v>
      </x:c>
      <x:c r="G77" s="2" t="str">
        <x:v>dreamina-seedance-2-5-260628</x:v>
      </x:c>
      <x:c r="H77" s="2" t="str">
        <x:v>480p</x:v>
      </x:c>
      <x:c r="I77" s="12" t="n">
        <x:v>17</x:v>
      </x:c>
      <x:c r="J77" s="14" t="n">
        <x:v>17.06</x:v>
      </x:c>
      <x:c r="K77" s="16" t="n">
        <x:v>163727</x:v>
      </x:c>
      <x:c r="L77" s="16" t="n">
        <x:f>IF(D77="succeeded",I77,0)</x:f>
        <x:v>17</x:v>
      </x:c>
      <x:c r="M77" s="16" t="n">
        <x:v>0</x:v>
      </x:c>
      <x:c r="N77" s="18" t="n">
        <x:v>1.7518789</x:v>
      </x:c>
      <x:c r="O77" s="18" t="n">
        <x:f>IF(D77="succeeded",K77*'Summary'!$F$5/'Summary'!$F$6,0)</x:f>
        <x:v>1.7518789</x:v>
      </x:c>
      <x:c r="P77" s="20" t="n">
        <x:f>O77*'Summary'!$F$7</x:f>
        <x:v>13.7469937283</x:v>
      </x:c>
      <x:c r="Q77" s="2" t="str"/>
      <x:c r="R77" s="2" t="str">
        <x:v>cgt-20261015141129-zsnai</x:v>
      </x:c>
      <x:c r="S77" s="2" t="str">
        <x:v>attempt_347593ce5dfc40f584f13b4a03a5bfdb</x:v>
      </x:c>
    </x:row>
    <x:row r="78" ht="22" customHeight="1">
      <x:c r="A78" s="9" t="n">
        <x:v>72</x:v>
      </x:c>
      <x:c r="B78" s="9" t="str">
        <x:v>s13_c04</x:v>
      </x:c>
      <x:c r="C78" s="9" t="str">
        <x:v>take_01</x:v>
      </x:c>
      <x:c r="D78" s="9" t="str">
        <x:v>succeeded</x:v>
      </x:c>
      <x:c r="E78" s="9" t="str">
        <x:v>Selected source</x:v>
      </x:c>
      <x:c r="F78" s="11" t="d">
        <x:v>2026-10-15T13:28:26.338Z</x:v>
      </x:c>
      <x:c r="G78" s="9" t="str">
        <x:v>dreamina-seedance-2-5-260628</x:v>
      </x:c>
      <x:c r="H78" s="9" t="str">
        <x:v>480p</x:v>
      </x:c>
      <x:c r="I78" s="13" t="n">
        <x:v>8</x:v>
      </x:c>
      <x:c r="J78" s="15" t="n">
        <x:v>8.06</x:v>
      </x:c>
      <x:c r="K78" s="17" t="n">
        <x:v>77260</x:v>
      </x:c>
      <x:c r="L78" s="17" t="n">
        <x:f>IF(D78="succeeded",I78,0)</x:f>
        <x:v>8</x:v>
      </x:c>
      <x:c r="M78" s="17" t="n">
        <x:v>0</x:v>
      </x:c>
      <x:c r="N78" s="19" t="n">
        <x:v>0.826682</x:v>
      </x:c>
      <x:c r="O78" s="19" t="n">
        <x:f>IF(D78="succeeded",K78*'Summary'!$F$5/'Summary'!$F$6,0)</x:f>
        <x:v>0.826682</x:v>
      </x:c>
      <x:c r="P78" s="21" t="n">
        <x:f>O78*'Summary'!$F$7</x:f>
        <x:v>6.486973654000001</x:v>
      </x:c>
      <x:c r="Q78" s="9" t="str"/>
      <x:c r="R78" s="9" t="str">
        <x:v>cgt-20261015132829-acjgg</x:v>
      </x:c>
      <x:c r="S78" s="9" t="str">
        <x:v>attempt_5799ab31de754960a026a0455a063812</x:v>
      </x:c>
    </x:row>
    <x:row r="79" ht="22" customHeight="1">
      <x:c r="A79" s="2" t="n">
        <x:v>73</x:v>
      </x:c>
      <x:c r="B79" s="2" t="str">
        <x:v>s14_c01</x:v>
      </x:c>
      <x:c r="C79" s="2" t="str">
        <x:v>take_01</x:v>
      </x:c>
      <x:c r="D79" s="2" t="str">
        <x:v>succeeded</x:v>
      </x:c>
      <x:c r="E79" s="2" t="str">
        <x:v>Selected source</x:v>
      </x:c>
      <x:c r="F79" s="10" t="d">
        <x:v>2026-10-15T14:11:34.892Z</x:v>
      </x:c>
      <x:c r="G79" s="2" t="str">
        <x:v>dreamina-seedance-2-5-260628</x:v>
      </x:c>
      <x:c r="H79" s="2" t="str">
        <x:v>480p</x:v>
      </x:c>
      <x:c r="I79" s="12" t="n">
        <x:v>18</x:v>
      </x:c>
      <x:c r="J79" s="14" t="n">
        <x:v>18.08</x:v>
      </x:c>
      <x:c r="K79" s="16" t="n">
        <x:v>173335</x:v>
      </x:c>
      <x:c r="L79" s="16" t="n">
        <x:f>IF(D79="succeeded",I79,0)</x:f>
        <x:v>18</x:v>
      </x:c>
      <x:c r="M79" s="16" t="n">
        <x:v>0</x:v>
      </x:c>
      <x:c r="N79" s="18" t="n">
        <x:v>1.8546845</x:v>
      </x:c>
      <x:c r="O79" s="18" t="n">
        <x:f>IF(D79="succeeded",K79*'Summary'!$F$5/'Summary'!$F$6,0)</x:f>
        <x:v>1.8546844999999998</x:v>
      </x:c>
      <x:c r="P79" s="20" t="n">
        <x:f>O79*'Summary'!$F$7</x:f>
        <x:v>14.553709271499999</x:v>
      </x:c>
      <x:c r="Q79" s="2" t="str"/>
      <x:c r="R79" s="2" t="str">
        <x:v>cgt-20261015141138-bnfb5</x:v>
      </x:c>
      <x:c r="S79" s="2" t="str">
        <x:v>attempt_0b7a6d14b92440f68293dc7eb08c9b12</x:v>
      </x:c>
    </x:row>
    <x:row r="80" ht="22" customHeight="1">
      <x:c r="A80" s="9" t="n">
        <x:v>74</x:v>
      </x:c>
      <x:c r="B80" s="9" t="str">
        <x:v>s14_c02</x:v>
      </x:c>
      <x:c r="C80" s="9" t="str">
        <x:v>take_01</x:v>
      </x:c>
      <x:c r="D80" s="9" t="str">
        <x:v>succeeded</x:v>
      </x:c>
      <x:c r="E80" s="9" t="str">
        <x:v>Superseded video</x:v>
      </x:c>
      <x:c r="F80" s="11" t="d">
        <x:v>2026-10-15T14:11:43.818Z</x:v>
      </x:c>
      <x:c r="G80" s="9" t="str">
        <x:v>dreamina-seedance-2-5-260628</x:v>
      </x:c>
      <x:c r="H80" s="9" t="str">
        <x:v>480p</x:v>
      </x:c>
      <x:c r="I80" s="13" t="n">
        <x:v>22</x:v>
      </x:c>
      <x:c r="J80" s="15" t="n">
        <x:v>22.08</x:v>
      </x:c>
      <x:c r="K80" s="17" t="n">
        <x:v>211765</x:v>
      </x:c>
      <x:c r="L80" s="17" t="n">
        <x:f>IF(D80="succeeded",I80,0)</x:f>
        <x:v>22</x:v>
      </x:c>
      <x:c r="M80" s="17" t="n">
        <x:v>0</x:v>
      </x:c>
      <x:c r="N80" s="19" t="n">
        <x:v>2.2658855</x:v>
      </x:c>
      <x:c r="O80" s="19" t="n">
        <x:f>IF(D80="succeeded",K80*'Summary'!$F$5/'Summary'!$F$6,0)</x:f>
        <x:v>2.2658855</x:v>
      </x:c>
      <x:c r="P80" s="21" t="n">
        <x:f>O80*'Summary'!$F$7</x:f>
        <x:v>17.780403518500002</x:v>
      </x:c>
      <x:c r="Q80" s="9" t="str"/>
      <x:c r="R80" s="9" t="str">
        <x:v>cgt-20261015141147-m3zku</x:v>
      </x:c>
      <x:c r="S80" s="9" t="str">
        <x:v>attempt_416f600dd9ce4cee83d2f67fab8d1c56</x:v>
      </x:c>
    </x:row>
    <x:row r="81" ht="22" customHeight="1">
      <x:c r="A81" s="2" t="n">
        <x:v>75</x:v>
      </x:c>
      <x:c r="B81" s="2" t="str">
        <x:v>s14_c02</x:v>
      </x:c>
      <x:c r="C81" s="2" t="str">
        <x:v>take_02</x:v>
      </x:c>
      <x:c r="D81" s="2" t="str">
        <x:v>succeeded</x:v>
      </x:c>
      <x:c r="E81" s="2" t="str">
        <x:v>Selected source</x:v>
      </x:c>
      <x:c r="F81" s="10" t="d">
        <x:v>2026-10-15T14:27:52.258Z</x:v>
      </x:c>
      <x:c r="G81" s="2" t="str">
        <x:v>dreamina-seedance-2-5-260628</x:v>
      </x:c>
      <x:c r="H81" s="2" t="str">
        <x:v>480p</x:v>
      </x:c>
      <x:c r="I81" s="12" t="n">
        <x:v>22</x:v>
      </x:c>
      <x:c r="J81" s="14" t="n">
        <x:v>22.08</x:v>
      </x:c>
      <x:c r="K81" s="16" t="n">
        <x:v>211765</x:v>
      </x:c>
      <x:c r="L81" s="16" t="n">
        <x:f>IF(D81="succeeded",I81,0)</x:f>
        <x:v>22</x:v>
      </x:c>
      <x:c r="M81" s="16" t="n">
        <x:v>0</x:v>
      </x:c>
      <x:c r="N81" s="18" t="n">
        <x:v>2.2658855</x:v>
      </x:c>
      <x:c r="O81" s="18" t="n">
        <x:f>IF(D81="succeeded",K81*'Summary'!$F$5/'Summary'!$F$6,0)</x:f>
        <x:v>2.2658855</x:v>
      </x:c>
      <x:c r="P81" s="20" t="n">
        <x:f>O81*'Summary'!$F$7</x:f>
        <x:v>17.780403518500002</x:v>
      </x:c>
      <x:c r="Q81" s="2" t="str"/>
      <x:c r="R81" s="2" t="str">
        <x:v>cgt-20261015142755-dt9jj</x:v>
      </x:c>
      <x:c r="S81" s="2" t="str">
        <x:v>attempt_f0e77c6e6556474ea58db5280aba3d65</x:v>
      </x:c>
    </x:row>
    <x:row r="82" ht="22" customHeight="1">
      <x:c r="A82" s="9" t="n">
        <x:v>76</x:v>
      </x:c>
      <x:c r="B82" s="9" t="str">
        <x:v>s14_c03</x:v>
      </x:c>
      <x:c r="C82" s="9" t="str">
        <x:v>take_01</x:v>
      </x:c>
      <x:c r="D82" s="9" t="str">
        <x:v>succeeded</x:v>
      </x:c>
      <x:c r="E82" s="9" t="str">
        <x:v>Superseded video</x:v>
      </x:c>
      <x:c r="F82" s="11" t="d">
        <x:v>2026-10-15T14:16:40.208Z</x:v>
      </x:c>
      <x:c r="G82" s="9" t="str">
        <x:v>dreamina-seedance-2-5-260628</x:v>
      </x:c>
      <x:c r="H82" s="9" t="str">
        <x:v>480p</x:v>
      </x:c>
      <x:c r="I82" s="13" t="n">
        <x:v>12</x:v>
      </x:c>
      <x:c r="J82" s="15" t="n">
        <x:v>12.06</x:v>
      </x:c>
      <x:c r="K82" s="17" t="n">
        <x:v>115690</x:v>
      </x:c>
      <x:c r="L82" s="17" t="n">
        <x:f>IF(D82="succeeded",I82,0)</x:f>
        <x:v>12</x:v>
      </x:c>
      <x:c r="M82" s="17" t="n">
        <x:v>0</x:v>
      </x:c>
      <x:c r="N82" s="19" t="n">
        <x:v>1.237883</x:v>
      </x:c>
      <x:c r="O82" s="19" t="n">
        <x:f>IF(D82="succeeded",K82*'Summary'!$F$5/'Summary'!$F$6,0)</x:f>
        <x:v>1.237883</x:v>
      </x:c>
      <x:c r="P82" s="21" t="n">
        <x:f>O82*'Summary'!$F$7</x:f>
        <x:v>9.713667901</x:v>
      </x:c>
      <x:c r="Q82" s="9" t="str"/>
      <x:c r="R82" s="9" t="str">
        <x:v>cgt-20261015141643-m36m1</x:v>
      </x:c>
      <x:c r="S82" s="9" t="str">
        <x:v>attempt_d40f7c7192ce4d269a74b0f2280670d6</x:v>
      </x:c>
    </x:row>
    <x:row r="83" ht="22" customHeight="1">
      <x:c r="A83" s="2" t="n">
        <x:v>77</x:v>
      </x:c>
      <x:c r="B83" s="2" t="str">
        <x:v>s14_c03</x:v>
      </x:c>
      <x:c r="C83" s="2" t="str">
        <x:v>take_02</x:v>
      </x:c>
      <x:c r="D83" s="2" t="str">
        <x:v>succeeded</x:v>
      </x:c>
      <x:c r="E83" s="2" t="str">
        <x:v>Selected source</x:v>
      </x:c>
      <x:c r="F83" s="10" t="d">
        <x:v>2026-10-15T14:28:00.489Z</x:v>
      </x:c>
      <x:c r="G83" s="2" t="str">
        <x:v>dreamina-seedance-2-5-260628</x:v>
      </x:c>
      <x:c r="H83" s="2" t="str">
        <x:v>480p</x:v>
      </x:c>
      <x:c r="I83" s="12" t="n">
        <x:v>12</x:v>
      </x:c>
      <x:c r="J83" s="14" t="n">
        <x:v>12.06</x:v>
      </x:c>
      <x:c r="K83" s="16" t="n">
        <x:v>115690</x:v>
      </x:c>
      <x:c r="L83" s="16" t="n">
        <x:f>IF(D83="succeeded",I83,0)</x:f>
        <x:v>12</x:v>
      </x:c>
      <x:c r="M83" s="16" t="n">
        <x:v>0</x:v>
      </x:c>
      <x:c r="N83" s="18" t="n">
        <x:v>1.237883</x:v>
      </x:c>
      <x:c r="O83" s="18" t="n">
        <x:f>IF(D83="succeeded",K83*'Summary'!$F$5/'Summary'!$F$6,0)</x:f>
        <x:v>1.237883</x:v>
      </x:c>
      <x:c r="P83" s="20" t="n">
        <x:f>O83*'Summary'!$F$7</x:f>
        <x:v>9.713667901</x:v>
      </x:c>
      <x:c r="Q83" s="2" t="str"/>
      <x:c r="R83" s="2" t="str">
        <x:v>cgt-20261015142803-oy6i3</x:v>
      </x:c>
      <x:c r="S83" s="2" t="str">
        <x:v>attempt_3d74f71dba5c4209814cc21993915683</x:v>
      </x:c>
    </x:row>
    <x:row r="84" ht="22" customHeight="1">
      <x:c r="A84" s="9" t="n">
        <x:v>78</x:v>
      </x:c>
      <x:c r="B84" s="9" t="str">
        <x:v>s14_c04</x:v>
      </x:c>
      <x:c r="C84" s="9" t="str">
        <x:v>take_01</x:v>
      </x:c>
      <x:c r="D84" s="9" t="str">
        <x:v>succeeded</x:v>
      </x:c>
      <x:c r="E84" s="9" t="str">
        <x:v>Selected source</x:v>
      </x:c>
      <x:c r="F84" s="11" t="d">
        <x:v>2026-10-15T14:16:48.413Z</x:v>
      </x:c>
      <x:c r="G84" s="9" t="str">
        <x:v>dreamina-seedance-2-5-260628</x:v>
      </x:c>
      <x:c r="H84" s="9" t="str">
        <x:v>480p</x:v>
      </x:c>
      <x:c r="I84" s="13" t="n">
        <x:v>23</x:v>
      </x:c>
      <x:c r="J84" s="15" t="n">
        <x:v>23.07</x:v>
      </x:c>
      <x:c r="K84" s="17" t="n">
        <x:v>221372</x:v>
      </x:c>
      <x:c r="L84" s="17" t="n">
        <x:f>IF(D84="succeeded",I84,0)</x:f>
        <x:v>23</x:v>
      </x:c>
      <x:c r="M84" s="17" t="n">
        <x:v>0</x:v>
      </x:c>
      <x:c r="N84" s="19" t="n">
        <x:v>2.3686804</x:v>
      </x:c>
      <x:c r="O84" s="19" t="n">
        <x:f>IF(D84="succeeded",K84*'Summary'!$F$5/'Summary'!$F$6,0)</x:f>
        <x:v>2.3686803999999997</x:v>
      </x:c>
      <x:c r="P84" s="21" t="n">
        <x:f>O84*'Summary'!$F$7</x:f>
        <x:v>18.587035098799998</x:v>
      </x:c>
      <x:c r="Q84" s="9" t="str"/>
      <x:c r="R84" s="9" t="str">
        <x:v>cgt-20261015141652-vfh69</x:v>
      </x:c>
      <x:c r="S84" s="9" t="str">
        <x:v>attempt_5c20e72f0d594415a5c20a845a822442</x:v>
      </x:c>
    </x:row>
    <x:row r="85" ht="22" customHeight="1">
      <x:c r="A85" s="2" t="n">
        <x:v>79</x:v>
      </x:c>
      <x:c r="B85" s="2" t="str">
        <x:v>s15_c01</x:v>
      </x:c>
      <x:c r="C85" s="2" t="str">
        <x:v>take_01</x:v>
      </x:c>
      <x:c r="D85" s="2" t="str">
        <x:v>succeeded</x:v>
      </x:c>
      <x:c r="E85" s="2" t="str">
        <x:v>Selected source</x:v>
      </x:c>
      <x:c r="F85" s="10" t="d">
        <x:v>2026-10-15T13:31:49.071Z</x:v>
      </x:c>
      <x:c r="G85" s="2" t="str">
        <x:v>dreamina-seedance-2-5-260628</x:v>
      </x:c>
      <x:c r="H85" s="2" t="str">
        <x:v>480p</x:v>
      </x:c>
      <x:c r="I85" s="12" t="n">
        <x:v>12</x:v>
      </x:c>
      <x:c r="J85" s="14" t="n">
        <x:v>12.06</x:v>
      </x:c>
      <x:c r="K85" s="16" t="n">
        <x:v>115690</x:v>
      </x:c>
      <x:c r="L85" s="16" t="n">
        <x:f>IF(D85="succeeded",I85,0)</x:f>
        <x:v>12</x:v>
      </x:c>
      <x:c r="M85" s="16" t="n">
        <x:v>0</x:v>
      </x:c>
      <x:c r="N85" s="18" t="n">
        <x:v>1.237883</x:v>
      </x:c>
      <x:c r="O85" s="18" t="n">
        <x:f>IF(D85="succeeded",K85*'Summary'!$F$5/'Summary'!$F$6,0)</x:f>
        <x:v>1.237883</x:v>
      </x:c>
      <x:c r="P85" s="20" t="n">
        <x:f>O85*'Summary'!$F$7</x:f>
        <x:v>9.713667901</x:v>
      </x:c>
      <x:c r="Q85" s="2" t="str"/>
      <x:c r="R85" s="2" t="str">
        <x:v>cgt-20261015133152-ocyoj</x:v>
      </x:c>
      <x:c r="S85" s="2" t="str">
        <x:v>attempt_789bd041a04e45279277884fd980eadb</x:v>
      </x:c>
    </x:row>
    <x:row r="86" ht="22" customHeight="1">
      <x:c r="A86" s="9" t="n">
        <x:v>80</x:v>
      </x:c>
      <x:c r="B86" s="9" t="str">
        <x:v>s15_c02</x:v>
      </x:c>
      <x:c r="C86" s="9" t="str">
        <x:v>take_01</x:v>
      </x:c>
      <x:c r="D86" s="9" t="str">
        <x:v>succeeded</x:v>
      </x:c>
      <x:c r="E86" s="9" t="str">
        <x:v>Superseded video</x:v>
      </x:c>
      <x:c r="F86" s="11" t="d">
        <x:v>2026-10-15T13:31:56.157Z</x:v>
      </x:c>
      <x:c r="G86" s="9" t="str">
        <x:v>dreamina-seedance-2-5-260628</x:v>
      </x:c>
      <x:c r="H86" s="9" t="str">
        <x:v>480p</x:v>
      </x:c>
      <x:c r="I86" s="13" t="n">
        <x:v>22</x:v>
      </x:c>
      <x:c r="J86" s="15" t="n">
        <x:v>22.08</x:v>
      </x:c>
      <x:c r="K86" s="17" t="n">
        <x:v>211765</x:v>
      </x:c>
      <x:c r="L86" s="17" t="n">
        <x:f>IF(D86="succeeded",I86,0)</x:f>
        <x:v>22</x:v>
      </x:c>
      <x:c r="M86" s="17" t="n">
        <x:v>0</x:v>
      </x:c>
      <x:c r="N86" s="19" t="n">
        <x:v>2.2658855</x:v>
      </x:c>
      <x:c r="O86" s="19" t="n">
        <x:f>IF(D86="succeeded",K86*'Summary'!$F$5/'Summary'!$F$6,0)</x:f>
        <x:v>2.2658855</x:v>
      </x:c>
      <x:c r="P86" s="21" t="n">
        <x:f>O86*'Summary'!$F$7</x:f>
        <x:v>17.780403518500002</x:v>
      </x:c>
      <x:c r="Q86" s="9" t="str"/>
      <x:c r="R86" s="9" t="str">
        <x:v>cgt-20261015133159-tgqxd</x:v>
      </x:c>
      <x:c r="S86" s="9" t="str">
        <x:v>attempt_3c5abf16ac0b4058abab14c6ec59b952</x:v>
      </x:c>
    </x:row>
    <x:row r="87" ht="22" customHeight="1">
      <x:c r="A87" s="2" t="n">
        <x:v>81</x:v>
      </x:c>
      <x:c r="B87" s="2" t="str">
        <x:v>s15_c02</x:v>
      </x:c>
      <x:c r="C87" s="2" t="str">
        <x:v>take_02</x:v>
      </x:c>
      <x:c r="D87" s="2" t="str">
        <x:v>succeeded</x:v>
      </x:c>
      <x:c r="E87" s="2" t="str">
        <x:v>Superseded video</x:v>
      </x:c>
      <x:c r="F87" s="10" t="d">
        <x:v>2026-10-15T13:46:56.060Z</x:v>
      </x:c>
      <x:c r="G87" s="2" t="str">
        <x:v>dreamina-seedance-2-5-260628</x:v>
      </x:c>
      <x:c r="H87" s="2" t="str">
        <x:v>480p</x:v>
      </x:c>
      <x:c r="I87" s="12" t="n">
        <x:v>22</x:v>
      </x:c>
      <x:c r="J87" s="14" t="n">
        <x:v>22.08</x:v>
      </x:c>
      <x:c r="K87" s="16" t="n">
        <x:v>211765</x:v>
      </x:c>
      <x:c r="L87" s="16" t="n">
        <x:f>IF(D87="succeeded",I87,0)</x:f>
        <x:v>22</x:v>
      </x:c>
      <x:c r="M87" s="16" t="n">
        <x:v>0</x:v>
      </x:c>
      <x:c r="N87" s="18" t="n">
        <x:v>2.2658855</x:v>
      </x:c>
      <x:c r="O87" s="18" t="n">
        <x:f>IF(D87="succeeded",K87*'Summary'!$F$5/'Summary'!$F$6,0)</x:f>
        <x:v>2.2658855</x:v>
      </x:c>
      <x:c r="P87" s="20" t="n">
        <x:f>O87*'Summary'!$F$7</x:f>
        <x:v>17.780403518500002</x:v>
      </x:c>
      <x:c r="Q87" s="2" t="str"/>
      <x:c r="R87" s="2" t="str">
        <x:v>cgt-20261015134659-5hxd1</x:v>
      </x:c>
      <x:c r="S87" s="2" t="str">
        <x:v>attempt_ee2168f6a48f40718cd7fe2227f75cab</x:v>
      </x:c>
    </x:row>
    <x:row r="88" ht="22" customHeight="1">
      <x:c r="A88" s="9" t="n">
        <x:v>82</x:v>
      </x:c>
      <x:c r="B88" s="9" t="str">
        <x:v>s15_c02</x:v>
      </x:c>
      <x:c r="C88" s="9" t="str">
        <x:v>take_03</x:v>
      </x:c>
      <x:c r="D88" s="9" t="str">
        <x:v>succeeded</x:v>
      </x:c>
      <x:c r="E88" s="9" t="str">
        <x:v>Selected source</x:v>
      </x:c>
      <x:c r="F88" s="11" t="d">
        <x:v>2026-10-15T13:53:13.069Z</x:v>
      </x:c>
      <x:c r="G88" s="9" t="str">
        <x:v>dreamina-seedance-2-5-260628</x:v>
      </x:c>
      <x:c r="H88" s="9" t="str">
        <x:v>480p</x:v>
      </x:c>
      <x:c r="I88" s="13" t="n">
        <x:v>22</x:v>
      </x:c>
      <x:c r="J88" s="15" t="n">
        <x:v>22.08</x:v>
      </x:c>
      <x:c r="K88" s="17" t="n">
        <x:v>211765</x:v>
      </x:c>
      <x:c r="L88" s="17" t="n">
        <x:f>IF(D88="succeeded",I88,0)</x:f>
        <x:v>22</x:v>
      </x:c>
      <x:c r="M88" s="17" t="n">
        <x:v>0</x:v>
      </x:c>
      <x:c r="N88" s="19" t="n">
        <x:v>2.2658855</x:v>
      </x:c>
      <x:c r="O88" s="19" t="n">
        <x:f>IF(D88="succeeded",K88*'Summary'!$F$5/'Summary'!$F$6,0)</x:f>
        <x:v>2.2658855</x:v>
      </x:c>
      <x:c r="P88" s="21" t="n">
        <x:f>O88*'Summary'!$F$7</x:f>
        <x:v>17.780403518500002</x:v>
      </x:c>
      <x:c r="Q88" s="9" t="str"/>
      <x:c r="R88" s="9" t="str">
        <x:v>cgt-20261015135316-wrysy</x:v>
      </x:c>
      <x:c r="S88" s="9" t="str">
        <x:v>attempt_f592759b9c83404280d9b3ace07f5f95</x:v>
      </x:c>
    </x:row>
    <x:row r="89" ht="22" customHeight="1">
      <x:c r="A89" s="2" t="n">
        <x:v>83</x:v>
      </x:c>
      <x:c r="B89" s="2" t="str">
        <x:v>s15_c03</x:v>
      </x:c>
      <x:c r="C89" s="2" t="str">
        <x:v>take_01</x:v>
      </x:c>
      <x:c r="D89" s="2" t="str">
        <x:v>succeeded</x:v>
      </x:c>
      <x:c r="E89" s="2" t="str">
        <x:v>Selected source</x:v>
      </x:c>
      <x:c r="F89" s="10" t="d">
        <x:v>2026-10-15T14:16:57.613Z</x:v>
      </x:c>
      <x:c r="G89" s="2" t="str">
        <x:v>dreamina-seedance-2-5-260628</x:v>
      </x:c>
      <x:c r="H89" s="2" t="str">
        <x:v>480p</x:v>
      </x:c>
      <x:c r="I89" s="12" t="n">
        <x:v>22</x:v>
      </x:c>
      <x:c r="J89" s="14" t="n">
        <x:v>22.08</x:v>
      </x:c>
      <x:c r="K89" s="16" t="n">
        <x:v>211765</x:v>
      </x:c>
      <x:c r="L89" s="16" t="n">
        <x:f>IF(D89="succeeded",I89,0)</x:f>
        <x:v>22</x:v>
      </x:c>
      <x:c r="M89" s="16" t="n">
        <x:v>0</x:v>
      </x:c>
      <x:c r="N89" s="18" t="n">
        <x:v>2.2658855</x:v>
      </x:c>
      <x:c r="O89" s="18" t="n">
        <x:f>IF(D89="succeeded",K89*'Summary'!$F$5/'Summary'!$F$6,0)</x:f>
        <x:v>2.2658855</x:v>
      </x:c>
      <x:c r="P89" s="20" t="n">
        <x:f>O89*'Summary'!$F$7</x:f>
        <x:v>17.780403518500002</x:v>
      </x:c>
      <x:c r="Q89" s="2" t="str"/>
      <x:c r="R89" s="2" t="str">
        <x:v>cgt-20261015141701-xixoh</x:v>
      </x:c>
      <x:c r="S89" s="2" t="str">
        <x:v>attempt_c73a90eb7bd24cad929b15c0871c9cf9</x:v>
      </x:c>
    </x:row>
    <x:row r="90" ht="22" customHeight="1">
      <x:c r="A90" s="9" t="n">
        <x:v>84</x:v>
      </x:c>
      <x:c r="B90" s="9" t="str">
        <x:v>s15_c04</x:v>
      </x:c>
      <x:c r="C90" s="9" t="str">
        <x:v>take_01</x:v>
      </x:c>
      <x:c r="D90" s="9" t="str">
        <x:v>succeeded</x:v>
      </x:c>
      <x:c r="E90" s="9" t="str">
        <x:v>Selected source</x:v>
      </x:c>
      <x:c r="F90" s="11" t="d">
        <x:v>2026-10-15T13:32:58.654Z</x:v>
      </x:c>
      <x:c r="G90" s="9" t="str">
        <x:v>dreamina-seedance-2-5-260628</x:v>
      </x:c>
      <x:c r="H90" s="9" t="str">
        <x:v>480p</x:v>
      </x:c>
      <x:c r="I90" s="13" t="n">
        <x:v>19</x:v>
      </x:c>
      <x:c r="J90" s="15" t="n">
        <x:v>19.07</x:v>
      </x:c>
      <x:c r="K90" s="17" t="n">
        <x:v>182942</x:v>
      </x:c>
      <x:c r="L90" s="17" t="n">
        <x:f>IF(D90="succeeded",I90,0)</x:f>
        <x:v>19</x:v>
      </x:c>
      <x:c r="M90" s="17" t="n">
        <x:v>0</x:v>
      </x:c>
      <x:c r="N90" s="19" t="n">
        <x:v>1.9574794</x:v>
      </x:c>
      <x:c r="O90" s="19" t="n">
        <x:f>IF(D90="succeeded",K90*'Summary'!$F$5/'Summary'!$F$6,0)</x:f>
        <x:v>1.9574794</x:v>
      </x:c>
      <x:c r="P90" s="21" t="n">
        <x:f>O90*'Summary'!$F$7</x:f>
        <x:v>15.3603408518</x:v>
      </x:c>
      <x:c r="Q90" s="9" t="str"/>
      <x:c r="R90" s="9" t="str">
        <x:v>cgt-20261015133302-smn2z</x:v>
      </x:c>
      <x:c r="S90" s="9" t="str">
        <x:v>attempt_0465811940f54ac98f869888ac839a7e</x:v>
      </x:c>
    </x:row>
    <x:row r="91" ht="22" customHeight="1">
      <x:c r="A91" s="2" t="n">
        <x:v>85</x:v>
      </x:c>
      <x:c r="B91" s="2" t="str">
        <x:v>s16_c01</x:v>
      </x:c>
      <x:c r="C91" s="2" t="str">
        <x:v>take_01</x:v>
      </x:c>
      <x:c r="D91" s="2" t="str">
        <x:v>succeeded</x:v>
      </x:c>
      <x:c r="E91" s="2" t="str">
        <x:v>Selected source</x:v>
      </x:c>
      <x:c r="F91" s="10" t="d">
        <x:v>2026-10-15T14:17:05.787Z</x:v>
      </x:c>
      <x:c r="G91" s="2" t="str">
        <x:v>dreamina-seedance-2-5-260628</x:v>
      </x:c>
      <x:c r="H91" s="2" t="str">
        <x:v>480p</x:v>
      </x:c>
      <x:c r="I91" s="12" t="n">
        <x:v>18</x:v>
      </x:c>
      <x:c r="J91" s="14" t="n">
        <x:v>18.08</x:v>
      </x:c>
      <x:c r="K91" s="16" t="n">
        <x:v>173335</x:v>
      </x:c>
      <x:c r="L91" s="16" t="n">
        <x:f>IF(D91="succeeded",I91,0)</x:f>
        <x:v>18</x:v>
      </x:c>
      <x:c r="M91" s="16" t="n">
        <x:v>0</x:v>
      </x:c>
      <x:c r="N91" s="18" t="n">
        <x:v>1.8546845</x:v>
      </x:c>
      <x:c r="O91" s="18" t="n">
        <x:f>IF(D91="succeeded",K91*'Summary'!$F$5/'Summary'!$F$6,0)</x:f>
        <x:v>1.8546844999999998</x:v>
      </x:c>
      <x:c r="P91" s="20" t="n">
        <x:f>O91*'Summary'!$F$7</x:f>
        <x:v>14.553709271499999</x:v>
      </x:c>
      <x:c r="Q91" s="2" t="str"/>
      <x:c r="R91" s="2" t="str">
        <x:v>cgt-20261015141708-e49zt</x:v>
      </x:c>
      <x:c r="S91" s="2" t="str">
        <x:v>attempt_db041e777c0b4ff88191c720b8c739c5</x:v>
      </x:c>
    </x:row>
    <x:row r="92" ht="22" customHeight="1">
      <x:c r="A92" s="9" t="n">
        <x:v>86</x:v>
      </x:c>
      <x:c r="B92" s="9" t="str">
        <x:v>s16_c02</x:v>
      </x:c>
      <x:c r="C92" s="9" t="str">
        <x:v>take_01</x:v>
      </x:c>
      <x:c r="D92" s="9" t="str">
        <x:v>succeeded</x:v>
      </x:c>
      <x:c r="E92" s="9" t="str">
        <x:v>Superseded video</x:v>
      </x:c>
      <x:c r="F92" s="11" t="d">
        <x:v>2026-10-15T13:28:32.837Z</x:v>
      </x:c>
      <x:c r="G92" s="9" t="str">
        <x:v>dreamina-seedance-2-5-260628</x:v>
      </x:c>
      <x:c r="H92" s="9" t="str">
        <x:v>480p</x:v>
      </x:c>
      <x:c r="I92" s="13" t="n">
        <x:v>16</x:v>
      </x:c>
      <x:c r="J92" s="15" t="n">
        <x:v>16.06</x:v>
      </x:c>
      <x:c r="K92" s="17" t="n">
        <x:v>154120</x:v>
      </x:c>
      <x:c r="L92" s="17" t="n">
        <x:f>IF(D92="succeeded",I92,0)</x:f>
        <x:v>16</x:v>
      </x:c>
      <x:c r="M92" s="17" t="n">
        <x:v>0</x:v>
      </x:c>
      <x:c r="N92" s="19" t="n">
        <x:v>1.649084</x:v>
      </x:c>
      <x:c r="O92" s="19" t="n">
        <x:f>IF(D92="succeeded",K92*'Summary'!$F$5/'Summary'!$F$6,0)</x:f>
        <x:v>1.649084</x:v>
      </x:c>
      <x:c r="P92" s="21" t="n">
        <x:f>O92*'Summary'!$F$7</x:f>
        <x:v>12.940362148</x:v>
      </x:c>
      <x:c r="Q92" s="9" t="str"/>
      <x:c r="R92" s="9" t="str">
        <x:v>cgt-20261015132836-y4m3u</x:v>
      </x:c>
      <x:c r="S92" s="9" t="str">
        <x:v>attempt_4601504f7efb4cbbb5bc629e7b94f2fb</x:v>
      </x:c>
    </x:row>
    <x:row r="93" ht="22" customHeight="1">
      <x:c r="A93" s="2" t="n">
        <x:v>87</x:v>
      </x:c>
      <x:c r="B93" s="2" t="str">
        <x:v>s16_c02</x:v>
      </x:c>
      <x:c r="C93" s="2" t="str">
        <x:v>take_02</x:v>
      </x:c>
      <x:c r="D93" s="2" t="str">
        <x:v>succeeded</x:v>
      </x:c>
      <x:c r="E93" s="2" t="str">
        <x:v>Selected source</x:v>
      </x:c>
      <x:c r="F93" s="10" t="d">
        <x:v>2026-10-15T13:53:20.975Z</x:v>
      </x:c>
      <x:c r="G93" s="2" t="str">
        <x:v>dreamina-seedance-2-5-260628</x:v>
      </x:c>
      <x:c r="H93" s="2" t="str">
        <x:v>480p</x:v>
      </x:c>
      <x:c r="I93" s="12" t="n">
        <x:v>16</x:v>
      </x:c>
      <x:c r="J93" s="14" t="n">
        <x:v>16.06</x:v>
      </x:c>
      <x:c r="K93" s="16" t="n">
        <x:v>154120</x:v>
      </x:c>
      <x:c r="L93" s="16" t="n">
        <x:f>IF(D93="succeeded",I93,0)</x:f>
        <x:v>16</x:v>
      </x:c>
      <x:c r="M93" s="16" t="n">
        <x:v>0</x:v>
      </x:c>
      <x:c r="N93" s="18" t="n">
        <x:v>1.649084</x:v>
      </x:c>
      <x:c r="O93" s="18" t="n">
        <x:f>IF(D93="succeeded",K93*'Summary'!$F$5/'Summary'!$F$6,0)</x:f>
        <x:v>1.649084</x:v>
      </x:c>
      <x:c r="P93" s="20" t="n">
        <x:f>O93*'Summary'!$F$7</x:f>
        <x:v>12.940362148</x:v>
      </x:c>
      <x:c r="Q93" s="2" t="str"/>
      <x:c r="R93" s="2" t="str">
        <x:v>cgt-20261015135324-idib8</x:v>
      </x:c>
      <x:c r="S93" s="2" t="str">
        <x:v>attempt_60a86da4e8ad476491f9073389a5664d</x:v>
      </x:c>
    </x:row>
    <x:row r="94" ht="22" customHeight="1">
      <x:c r="A94" s="9" t="n">
        <x:v>88</x:v>
      </x:c>
      <x:c r="B94" s="9" t="str">
        <x:v>s16_c03</x:v>
      </x:c>
      <x:c r="C94" s="9" t="str">
        <x:v>take_01</x:v>
      </x:c>
      <x:c r="D94" s="9" t="str">
        <x:v>succeeded</x:v>
      </x:c>
      <x:c r="E94" s="9" t="str">
        <x:v>Selected source</x:v>
      </x:c>
      <x:c r="F94" s="11" t="d">
        <x:v>2026-10-15T13:28:40.020Z</x:v>
      </x:c>
      <x:c r="G94" s="9" t="str">
        <x:v>dreamina-seedance-2-5-260628</x:v>
      </x:c>
      <x:c r="H94" s="9" t="str">
        <x:v>480p</x:v>
      </x:c>
      <x:c r="I94" s="13" t="n">
        <x:v>20</x:v>
      </x:c>
      <x:c r="J94" s="15" t="n">
        <x:v>20.06</x:v>
      </x:c>
      <x:c r="K94" s="17" t="n">
        <x:v>192550</x:v>
      </x:c>
      <x:c r="L94" s="17" t="n">
        <x:f>IF(D94="succeeded",I94,0)</x:f>
        <x:v>20</x:v>
      </x:c>
      <x:c r="M94" s="17" t="n">
        <x:v>0</x:v>
      </x:c>
      <x:c r="N94" s="19" t="n">
        <x:v>2.060285</x:v>
      </x:c>
      <x:c r="O94" s="19" t="n">
        <x:f>IF(D94="succeeded",K94*'Summary'!$F$5/'Summary'!$F$6,0)</x:f>
        <x:v>2.060285</x:v>
      </x:c>
      <x:c r="P94" s="21" t="n">
        <x:f>O94*'Summary'!$F$7</x:f>
        <x:v>16.167056395</x:v>
      </x:c>
      <x:c r="Q94" s="9" t="str"/>
      <x:c r="R94" s="9" t="str">
        <x:v>cgt-20261015132843-j7xnd</x:v>
      </x:c>
      <x:c r="S94" s="9" t="str">
        <x:v>attempt_2bbc85fb5273409fadd3f880dafab5e6</x:v>
      </x:c>
    </x:row>
    <x:row r="95" ht="22" customHeight="1">
      <x:c r="A95" s="2" t="n">
        <x:v>89</x:v>
      </x:c>
      <x:c r="B95" s="2" t="str">
        <x:v>s16_c04</x:v>
      </x:c>
      <x:c r="C95" s="2" t="str">
        <x:v>take_01</x:v>
      </x:c>
      <x:c r="D95" s="2" t="str">
        <x:v>succeeded</x:v>
      </x:c>
      <x:c r="E95" s="2" t="str">
        <x:v>Selected source</x:v>
      </x:c>
      <x:c r="F95" s="10" t="d">
        <x:v>2026-10-15T13:28:47.049Z</x:v>
      </x:c>
      <x:c r="G95" s="2" t="str">
        <x:v>dreamina-seedance-2-5-260628</x:v>
      </x:c>
      <x:c r="H95" s="2" t="str">
        <x:v>480p</x:v>
      </x:c>
      <x:c r="I95" s="12" t="n">
        <x:v>15</x:v>
      </x:c>
      <x:c r="J95" s="14" t="n">
        <x:v>15.07</x:v>
      </x:c>
      <x:c r="K95" s="16" t="n">
        <x:v>144512</x:v>
      </x:c>
      <x:c r="L95" s="16" t="n">
        <x:f>IF(D95="succeeded",I95,0)</x:f>
        <x:v>15</x:v>
      </x:c>
      <x:c r="M95" s="16" t="n">
        <x:v>0</x:v>
      </x:c>
      <x:c r="N95" s="18" t="n">
        <x:v>1.5462784</x:v>
      </x:c>
      <x:c r="O95" s="18" t="n">
        <x:f>IF(D95="succeeded",K95*'Summary'!$F$5/'Summary'!$F$6,0)</x:f>
        <x:v>1.5462783999999998</x:v>
      </x:c>
      <x:c r="P95" s="20" t="n">
        <x:f>O95*'Summary'!$F$7</x:f>
        <x:v>12.1336466048</x:v>
      </x:c>
      <x:c r="Q95" s="2" t="str"/>
      <x:c r="R95" s="2" t="str">
        <x:v>cgt-20261015132850-1jne2</x:v>
      </x:c>
      <x:c r="S95" s="2" t="str">
        <x:v>attempt_5d33e874b6ec42db8100cd1047701a99</x:v>
      </x:c>
    </x:row>
    <x:row r="96" ht="22" customHeight="1">
      <x:c r="A96" s="9" t="n">
        <x:v>90</x:v>
      </x:c>
      <x:c r="B96" s="9" t="str">
        <x:v>s16_c05</x:v>
      </x:c>
      <x:c r="C96" s="9" t="str">
        <x:v>take_01</x:v>
      </x:c>
      <x:c r="D96" s="9" t="str">
        <x:v>succeeded</x:v>
      </x:c>
      <x:c r="E96" s="9" t="str">
        <x:v>Superseded video</x:v>
      </x:c>
      <x:c r="F96" s="11" t="d">
        <x:v>2026-10-15T13:28:55.066Z</x:v>
      </x:c>
      <x:c r="G96" s="9" t="str">
        <x:v>dreamina-seedance-2-5-260628</x:v>
      </x:c>
      <x:c r="H96" s="9" t="str">
        <x:v>480p</x:v>
      </x:c>
      <x:c r="I96" s="13" t="n">
        <x:v>24</x:v>
      </x:c>
      <x:c r="J96" s="15" t="n">
        <x:v>24.06</x:v>
      </x:c>
      <x:c r="K96" s="17" t="n">
        <x:v>230980</x:v>
      </x:c>
      <x:c r="L96" s="17" t="n">
        <x:f>IF(D96="succeeded",I96,0)</x:f>
        <x:v>24</x:v>
      </x:c>
      <x:c r="M96" s="17" t="n">
        <x:v>0</x:v>
      </x:c>
      <x:c r="N96" s="19" t="n">
        <x:v>2.471486</x:v>
      </x:c>
      <x:c r="O96" s="19" t="n">
        <x:f>IF(D96="succeeded",K96*'Summary'!$F$5/'Summary'!$F$6,0)</x:f>
        <x:v>2.471486</x:v>
      </x:c>
      <x:c r="P96" s="21" t="n">
        <x:f>O96*'Summary'!$F$7</x:f>
        <x:v>19.393750642</x:v>
      </x:c>
      <x:c r="Q96" s="9" t="str"/>
      <x:c r="R96" s="9" t="str">
        <x:v>cgt-20261015132858-98e0q</x:v>
      </x:c>
      <x:c r="S96" s="9" t="str">
        <x:v>attempt_10d17324ee77432a861f7d80c34cec85</x:v>
      </x:c>
    </x:row>
    <x:row r="97" ht="22" customHeight="1">
      <x:c r="A97" s="2" t="n">
        <x:v>91</x:v>
      </x:c>
      <x:c r="B97" s="2" t="str">
        <x:v>s16_c05</x:v>
      </x:c>
      <x:c r="C97" s="2" t="str">
        <x:v>take_02</x:v>
      </x:c>
      <x:c r="D97" s="2" t="str">
        <x:v>succeeded</x:v>
      </x:c>
      <x:c r="E97" s="2" t="str">
        <x:v>Superseded video</x:v>
      </x:c>
      <x:c r="F97" s="10" t="d">
        <x:v>2026-10-15T13:53:28.691Z</x:v>
      </x:c>
      <x:c r="G97" s="2" t="str">
        <x:v>dreamina-seedance-2-5-260628</x:v>
      </x:c>
      <x:c r="H97" s="2" t="str">
        <x:v>480p</x:v>
      </x:c>
      <x:c r="I97" s="12" t="n">
        <x:v>24</x:v>
      </x:c>
      <x:c r="J97" s="14" t="n">
        <x:v>24.06</x:v>
      </x:c>
      <x:c r="K97" s="16" t="n">
        <x:v>230980</x:v>
      </x:c>
      <x:c r="L97" s="16" t="n">
        <x:f>IF(D97="succeeded",I97,0)</x:f>
        <x:v>24</x:v>
      </x:c>
      <x:c r="M97" s="16" t="n">
        <x:v>0</x:v>
      </x:c>
      <x:c r="N97" s="18" t="n">
        <x:v>2.471486</x:v>
      </x:c>
      <x:c r="O97" s="18" t="n">
        <x:f>IF(D97="succeeded",K97*'Summary'!$F$5/'Summary'!$F$6,0)</x:f>
        <x:v>2.471486</x:v>
      </x:c>
      <x:c r="P97" s="20" t="n">
        <x:f>O97*'Summary'!$F$7</x:f>
        <x:v>19.393750642</x:v>
      </x:c>
      <x:c r="Q97" s="2" t="str"/>
      <x:c r="R97" s="2" t="str">
        <x:v>cgt-20261015135332-gydk8</x:v>
      </x:c>
      <x:c r="S97" s="2" t="str">
        <x:v>attempt_a652b1824c8e4115a6931fc98304f8b7</x:v>
      </x:c>
    </x:row>
    <x:row r="98" ht="22" customHeight="1">
      <x:c r="A98" s="9" t="n">
        <x:v>92</x:v>
      </x:c>
      <x:c r="B98" s="9" t="str">
        <x:v>s16_c05</x:v>
      </x:c>
      <x:c r="C98" s="9" t="str">
        <x:v>take_03</x:v>
      </x:c>
      <x:c r="D98" s="9" t="str">
        <x:v>succeeded</x:v>
      </x:c>
      <x:c r="E98" s="9" t="str">
        <x:v>Selected source</x:v>
      </x:c>
      <x:c r="F98" s="11" t="d">
        <x:v>2026-10-15T14:17:13.298Z</x:v>
      </x:c>
      <x:c r="G98" s="9" t="str">
        <x:v>dreamina-seedance-2-5-260628</x:v>
      </x:c>
      <x:c r="H98" s="9" t="str">
        <x:v>480p</x:v>
      </x:c>
      <x:c r="I98" s="13" t="n">
        <x:v>24</x:v>
      </x:c>
      <x:c r="J98" s="15" t="n">
        <x:v>24.06</x:v>
      </x:c>
      <x:c r="K98" s="17" t="n">
        <x:v>230980</x:v>
      </x:c>
      <x:c r="L98" s="17" t="n">
        <x:f>IF(D98="succeeded",I98,0)</x:f>
        <x:v>24</x:v>
      </x:c>
      <x:c r="M98" s="17" t="n">
        <x:v>0</x:v>
      </x:c>
      <x:c r="N98" s="19" t="n">
        <x:v>2.471486</x:v>
      </x:c>
      <x:c r="O98" s="19" t="n">
        <x:f>IF(D98="succeeded",K98*'Summary'!$F$5/'Summary'!$F$6,0)</x:f>
        <x:v>2.471486</x:v>
      </x:c>
      <x:c r="P98" s="21" t="n">
        <x:f>O98*'Summary'!$F$7</x:f>
        <x:v>19.393750642</x:v>
      </x:c>
      <x:c r="Q98" s="9" t="str"/>
      <x:c r="R98" s="9" t="str">
        <x:v>cgt-20261015141716-hwpmi</x:v>
      </x:c>
      <x:c r="S98" s="9" t="str">
        <x:v>attempt_fd59e0ee84c6475faa81a98ae80f2dd4</x:v>
      </x:c>
    </x:row>
    <x:row r="99" ht="22" customHeight="1">
      <x:c r="A99" s="2" t="n">
        <x:v>93</x:v>
      </x:c>
      <x:c r="B99" s="2" t="str">
        <x:v>s16_c06</x:v>
      </x:c>
      <x:c r="C99" s="2" t="str">
        <x:v>take_01</x:v>
      </x:c>
      <x:c r="D99" s="2" t="str">
        <x:v>succeeded</x:v>
      </x:c>
      <x:c r="E99" s="2" t="str">
        <x:v>Selected source</x:v>
      </x:c>
      <x:c r="F99" s="10" t="d">
        <x:v>2026-10-15T13:29:02.504Z</x:v>
      </x:c>
      <x:c r="G99" s="2" t="str">
        <x:v>dreamina-seedance-2-5-260628</x:v>
      </x:c>
      <x:c r="H99" s="2" t="str">
        <x:v>480p</x:v>
      </x:c>
      <x:c r="I99" s="12" t="n">
        <x:v>20</x:v>
      </x:c>
      <x:c r="J99" s="14" t="n">
        <x:v>20.06</x:v>
      </x:c>
      <x:c r="K99" s="16" t="n">
        <x:v>192550</x:v>
      </x:c>
      <x:c r="L99" s="16" t="n">
        <x:f>IF(D99="succeeded",I99,0)</x:f>
        <x:v>20</x:v>
      </x:c>
      <x:c r="M99" s="16" t="n">
        <x:v>0</x:v>
      </x:c>
      <x:c r="N99" s="18" t="n">
        <x:v>2.060285</x:v>
      </x:c>
      <x:c r="O99" s="18" t="n">
        <x:f>IF(D99="succeeded",K99*'Summary'!$F$5/'Summary'!$F$6,0)</x:f>
        <x:v>2.060285</x:v>
      </x:c>
      <x:c r="P99" s="20" t="n">
        <x:f>O99*'Summary'!$F$7</x:f>
        <x:v>16.167056395</x:v>
      </x:c>
      <x:c r="Q99" s="2" t="str"/>
      <x:c r="R99" s="2" t="str">
        <x:v>cgt-20261015132906-a8k9m</x:v>
      </x:c>
      <x:c r="S99" s="2" t="str">
        <x:v>attempt_0e55d141bbe147efb90c582300128a3d</x:v>
      </x:c>
    </x:row>
    <x:row r="100" ht="22" customHeight="1">
      <x:c r="A100" s="9" t="n">
        <x:v>94</x:v>
      </x:c>
      <x:c r="B100" s="9" t="str">
        <x:v>s16_c07</x:v>
      </x:c>
      <x:c r="C100" s="9" t="str">
        <x:v>take_01</x:v>
      </x:c>
      <x:c r="D100" s="9" t="str">
        <x:v>succeeded</x:v>
      </x:c>
      <x:c r="E100" s="9" t="str">
        <x:v>Superseded video</x:v>
      </x:c>
      <x:c r="F100" s="11" t="d">
        <x:v>2026-10-15T14:17:21.139Z</x:v>
      </x:c>
      <x:c r="G100" s="9" t="str">
        <x:v>dreamina-seedance-2-5-260628</x:v>
      </x:c>
      <x:c r="H100" s="9" t="str">
        <x:v>480p</x:v>
      </x:c>
      <x:c r="I100" s="13" t="n">
        <x:v>13</x:v>
      </x:c>
      <x:c r="J100" s="15" t="n">
        <x:v>13.06</x:v>
      </x:c>
      <x:c r="K100" s="17" t="n">
        <x:v>125297</x:v>
      </x:c>
      <x:c r="L100" s="17" t="n">
        <x:f>IF(D100="succeeded",I100,0)</x:f>
        <x:v>13</x:v>
      </x:c>
      <x:c r="M100" s="17" t="n">
        <x:v>0</x:v>
      </x:c>
      <x:c r="N100" s="19" t="n">
        <x:v>1.3406779</x:v>
      </x:c>
      <x:c r="O100" s="19" t="n">
        <x:f>IF(D100="succeeded",K100*'Summary'!$F$5/'Summary'!$F$6,0)</x:f>
        <x:v>1.3406779</x:v>
      </x:c>
      <x:c r="P100" s="21" t="n">
        <x:f>O100*'Summary'!$F$7</x:f>
        <x:v>10.5202994813</x:v>
      </x:c>
      <x:c r="Q100" s="9" t="str"/>
      <x:c r="R100" s="9" t="str">
        <x:v>cgt-20261015141724-g1rm5</x:v>
      </x:c>
      <x:c r="S100" s="9" t="str">
        <x:v>attempt_e0bbd69124ad4fca8d9b519cdf2d81a8</x:v>
      </x:c>
    </x:row>
    <x:row r="101" ht="22" customHeight="1">
      <x:c r="A101" s="2" t="n">
        <x:v>95</x:v>
      </x:c>
      <x:c r="B101" s="2" t="str">
        <x:v>s16_c07</x:v>
      </x:c>
      <x:c r="C101" s="2" t="str">
        <x:v>take_02</x:v>
      </x:c>
      <x:c r="D101" s="2" t="str">
        <x:v>succeeded</x:v>
      </x:c>
      <x:c r="E101" s="2" t="str">
        <x:v>Selected source</x:v>
      </x:c>
      <x:c r="F101" s="10" t="d">
        <x:v>2026-10-15T14:28:08.200Z</x:v>
      </x:c>
      <x:c r="G101" s="2" t="str">
        <x:v>dreamina-seedance-2-5-260628</x:v>
      </x:c>
      <x:c r="H101" s="2" t="str">
        <x:v>480p</x:v>
      </x:c>
      <x:c r="I101" s="12" t="n">
        <x:v>13</x:v>
      </x:c>
      <x:c r="J101" s="14" t="n">
        <x:v>13.06</x:v>
      </x:c>
      <x:c r="K101" s="16" t="n">
        <x:v>125297</x:v>
      </x:c>
      <x:c r="L101" s="16" t="n">
        <x:f>IF(D101="succeeded",I101,0)</x:f>
        <x:v>13</x:v>
      </x:c>
      <x:c r="M101" s="16" t="n">
        <x:v>0</x:v>
      </x:c>
      <x:c r="N101" s="18" t="n">
        <x:v>1.3406779</x:v>
      </x:c>
      <x:c r="O101" s="18" t="n">
        <x:f>IF(D101="succeeded",K101*'Summary'!$F$5/'Summary'!$F$6,0)</x:f>
        <x:v>1.3406779</x:v>
      </x:c>
      <x:c r="P101" s="20" t="n">
        <x:f>O101*'Summary'!$F$7</x:f>
        <x:v>10.5202994813</x:v>
      </x:c>
      <x:c r="Q101" s="2" t="str"/>
      <x:c r="R101" s="2" t="str">
        <x:v>cgt-20261015142811-g314l</x:v>
      </x:c>
      <x:c r="S101" s="2" t="str">
        <x:v>attempt_62c3d9d6abaa43afbb173a0634b6874b</x:v>
      </x:c>
    </x:row>
    <x:row r="102" ht="22" customHeight="1">
      <x:c r="A102" s="9" t="n">
        <x:v>96</x:v>
      </x:c>
      <x:c r="B102" s="9" t="str">
        <x:v>s16_c08</x:v>
      </x:c>
      <x:c r="C102" s="9" t="str">
        <x:v>take_01</x:v>
      </x:c>
      <x:c r="D102" s="9" t="str">
        <x:v>succeeded</x:v>
      </x:c>
      <x:c r="E102" s="9" t="str">
        <x:v>Selected source</x:v>
      </x:c>
      <x:c r="F102" s="11" t="d">
        <x:v>2026-10-15T14:17:29.512Z</x:v>
      </x:c>
      <x:c r="G102" s="9" t="str">
        <x:v>dreamina-seedance-2-5-260628</x:v>
      </x:c>
      <x:c r="H102" s="9" t="str">
        <x:v>480p</x:v>
      </x:c>
      <x:c r="I102" s="13" t="n">
        <x:v>24</x:v>
      </x:c>
      <x:c r="J102" s="15" t="n">
        <x:v>24.06</x:v>
      </x:c>
      <x:c r="K102" s="17" t="n">
        <x:v>230980</x:v>
      </x:c>
      <x:c r="L102" s="17" t="n">
        <x:f>IF(D102="succeeded",I102,0)</x:f>
        <x:v>24</x:v>
      </x:c>
      <x:c r="M102" s="17" t="n">
        <x:v>0</x:v>
      </x:c>
      <x:c r="N102" s="19" t="n">
        <x:v>2.471486</x:v>
      </x:c>
      <x:c r="O102" s="19" t="n">
        <x:f>IF(D102="succeeded",K102*'Summary'!$F$5/'Summary'!$F$6,0)</x:f>
        <x:v>2.471486</x:v>
      </x:c>
      <x:c r="P102" s="21" t="n">
        <x:f>O102*'Summary'!$F$7</x:f>
        <x:v>19.393750642</x:v>
      </x:c>
      <x:c r="Q102" s="9" t="str"/>
      <x:c r="R102" s="9" t="str">
        <x:v>cgt-20261015141733-1bedn</x:v>
      </x:c>
      <x:c r="S102" s="9" t="str">
        <x:v>attempt_cf6157a123fe4cc694834fd527afc2d9</x:v>
      </x:c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</x:row>
    <x:row r="104" ht="22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</x:row>
  </x:sheetData>
  <x:conditionalFormatting sqref="D7:D102">
    <x:cfRule type="containsText" dxfId="0" priority="1" operator="containsText" text="failed"/>
    <x:cfRule type="containsText" dxfId="1" priority="2" operator="containsText" text="rejected"/>
  </x:conditionalFormatting>
  <x:pageMargins left="0.7" right="0.7" top="0.75" bottom="0.75" header="0.3" footer="0.3"/>
</x:worksheet>
</file>